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P:\研究室\"/>
    </mc:Choice>
  </mc:AlternateContent>
  <xr:revisionPtr revIDLastSave="0" documentId="13_ncr:1_{E989981F-DB34-46A7-9AE5-3AEBC4041706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シート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0" i="1" l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D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D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L3" i="1"/>
  <c r="D28" i="1" s="1"/>
  <c r="G3" i="1"/>
  <c r="L2" i="1"/>
  <c r="D35" i="1" s="1"/>
  <c r="D26" i="1" l="1"/>
  <c r="D51" i="1"/>
  <c r="D15" i="1"/>
  <c r="D53" i="1"/>
  <c r="D32" i="1"/>
  <c r="D56" i="1"/>
  <c r="D16" i="1"/>
  <c r="D52" i="1"/>
  <c r="D33" i="1"/>
  <c r="D11" i="1"/>
  <c r="D17" i="1"/>
  <c r="D49" i="1"/>
  <c r="D6" i="1"/>
  <c r="D34" i="1"/>
  <c r="D12" i="1"/>
  <c r="D18" i="1"/>
  <c r="D48" i="1"/>
  <c r="D7" i="1"/>
  <c r="D37" i="1"/>
  <c r="D8" i="1"/>
  <c r="D19" i="1"/>
  <c r="D40" i="1"/>
  <c r="D10" i="1"/>
  <c r="D38" i="1"/>
  <c r="D9" i="1"/>
  <c r="D20" i="1"/>
  <c r="D27" i="1"/>
  <c r="D23" i="1"/>
  <c r="D39" i="1"/>
  <c r="D13" i="1"/>
  <c r="D25" i="1"/>
  <c r="D24" i="1"/>
  <c r="D50" i="1"/>
  <c r="D14" i="1"/>
  <c r="D54" i="1"/>
  <c r="D42" i="1"/>
</calcChain>
</file>

<file path=xl/sharedStrings.xml><?xml version="1.0" encoding="utf-8"?>
<sst xmlns="http://schemas.openxmlformats.org/spreadsheetml/2006/main" count="184" uniqueCount="168">
  <si>
    <t>列 1</t>
  </si>
  <si>
    <t>名前</t>
  </si>
  <si>
    <t>未修飾理論値 ( 5'-P, CCA補正 )</t>
  </si>
  <si>
    <t>配列</t>
  </si>
  <si>
    <t>nt</t>
  </si>
  <si>
    <t>anti-codon</t>
  </si>
  <si>
    <t>wobble位</t>
  </si>
  <si>
    <t>Top Scoring / Second Best Scoring Isotype Model</t>
  </si>
  <si>
    <t>C</t>
  </si>
  <si>
    <t>tRNA-Ala-CGC-1-1</t>
  </si>
  <si>
    <t>GGGCUCGUAGAUCAGGGGAAGAUCGUUACGUUCGCAACGUAAAGGCCGCGGGUUCAAAUCCCGCCGAGUCCA</t>
  </si>
  <si>
    <t>Ala (101.0 bits) / Arg (60.5 bits)</t>
  </si>
  <si>
    <t>A</t>
  </si>
  <si>
    <r>
      <rPr>
        <u/>
        <sz val="10"/>
        <color rgb="FF1155CC"/>
        <rFont val="Arial"/>
        <family val="2"/>
      </rPr>
      <t>tRNA-Ala-GGC-1-1</t>
    </r>
  </si>
  <si>
    <t>GGGCCGGUAGAUCAGGGGAAGAUCGCUACCUUGGCAUGGUAGAGGCCUCGGGUUCAAUUCCCGACCGGUCCA</t>
  </si>
  <si>
    <t>Ala (104.8 bits) / Gly (48.8 bits)</t>
  </si>
  <si>
    <r>
      <rPr>
        <u/>
        <sz val="10"/>
        <color rgb="FF1155CC"/>
        <rFont val="Arial"/>
        <family val="2"/>
      </rPr>
      <t>tRNA-Ala-TGC-1-1</t>
    </r>
  </si>
  <si>
    <t>GGGCUUGUAGAUCAGCUGGAAGAUCGCUGCCUUUGCAAGGCAGAGGCCCUGGGUUCGAGUCCCAGCAAGUCCA</t>
  </si>
  <si>
    <t>Ala (100.6 bits) / Arg (61.9 bits)</t>
  </si>
  <si>
    <r>
      <rPr>
        <u/>
        <sz val="10"/>
        <color rgb="FF1155CC"/>
        <rFont val="Arial"/>
        <family val="2"/>
      </rPr>
      <t>tRNA-Arg-CCG-1-1</t>
    </r>
  </si>
  <si>
    <t>AGGUCUGUGGUGUAGAGGAUAUCACUGGAGCCUCCGGAGCUCCGAACCUGGGUUCGAUUCCCAGCAGACCUG</t>
  </si>
  <si>
    <t>Arg (65.6 bits) / Gly (65.6 bits)</t>
  </si>
  <si>
    <r>
      <rPr>
        <u/>
        <sz val="10"/>
        <color rgb="FF1155CC"/>
        <rFont val="Arial"/>
        <family val="2"/>
      </rPr>
      <t>tRNA-Arg-CCT-1-1</t>
    </r>
  </si>
  <si>
    <t>GGGCGCGUGGCCUAGCCCGGAUAUGGCGGCAGCCUCCUAAGCUGUAAAUCGGGGGUUCAAAUCCCUUCGCGCCCG</t>
  </si>
  <si>
    <t>Arg (98.6 bits) / Lys (67.3 bits)</t>
  </si>
  <si>
    <r>
      <rPr>
        <u/>
        <sz val="10"/>
        <color rgb="FF1155CC"/>
        <rFont val="Arial"/>
        <family val="2"/>
      </rPr>
      <t>tRNA-Arg-GCG-1-1</t>
    </r>
  </si>
  <si>
    <t>GUCCCGAUAGGGUAGUGGAUAUCCUUGAGGCCUGCGGAGCCUUAGACCUGAGUUCAAGUCUCAGUCGGGACG</t>
  </si>
  <si>
    <t>Arg (77.2 bits) / His (77.1 bits)</t>
  </si>
  <si>
    <r>
      <rPr>
        <u/>
        <sz val="10"/>
        <color rgb="FF1155CC"/>
        <rFont val="Arial"/>
        <family val="2"/>
      </rPr>
      <t>tRNA-Arg-TCG-1-1</t>
    </r>
  </si>
  <si>
    <t>GGGCUCGUGGGGUAGCCAGGAUAUCCUAAUGGGCUUCGAACCCAUUGACUCGUGUUCGAAUCGCGGCGGGCCCG</t>
  </si>
  <si>
    <t>Arg (86.7 bits) / Gly (53.9 bits)</t>
  </si>
  <si>
    <r>
      <rPr>
        <u/>
        <sz val="10"/>
        <color rgb="FF1155CC"/>
        <rFont val="Arial"/>
        <family val="2"/>
      </rPr>
      <t>tRNA-Arg-TCT-1-1</t>
    </r>
  </si>
  <si>
    <t>GGGCUCGUGGCUUAGCCAGGAUAUAGCGCUGGGCUUCUAACCCAGACGUCGGGGGUUCAAAUCCCUUCGAGCCCG</t>
  </si>
  <si>
    <t>Arg (96.1 bits) / Lys (94.7 bits)</t>
  </si>
  <si>
    <r>
      <rPr>
        <u/>
        <sz val="10"/>
        <color rgb="FF1155CC"/>
        <rFont val="Arial"/>
        <family val="2"/>
      </rPr>
      <t>tRNA-Asn-GTT-1-1</t>
    </r>
  </si>
  <si>
    <t>GCCGCUUUAACUCAGUUGGUAGAGUGUCUGGCUGUUAACCAGAAUGUCGUAGGUUCGAGCCCUGCAAGCGGCG</t>
  </si>
  <si>
    <t>Asn (100.2 bits) / Ile2 (52.4 bits)</t>
  </si>
  <si>
    <r>
      <rPr>
        <u/>
        <sz val="10"/>
        <color rgb="FF1155CC"/>
        <rFont val="Arial"/>
        <family val="2"/>
      </rPr>
      <t>tRNA-Asn-GTT-1-2</t>
    </r>
  </si>
  <si>
    <r>
      <rPr>
        <u/>
        <sz val="10"/>
        <color rgb="FF1155CC"/>
        <rFont val="Arial"/>
        <family val="2"/>
      </rPr>
      <t>tRNA-Asp-GTC-1-1</t>
    </r>
  </si>
  <si>
    <t>GUCCGGAUAGUGUAGAGGCCUAUCAUGGAGCCCUGUCGAGGCUCCGACUCGGGUUCGAAUCCCGGUCCGGGCG</t>
  </si>
  <si>
    <t>Asp (100.8 bits) / His (76.3 bits)</t>
  </si>
  <si>
    <r>
      <rPr>
        <u/>
        <sz val="10"/>
        <color rgb="FF1155CC"/>
        <rFont val="Arial"/>
        <family val="2"/>
      </rPr>
      <t>tRNA-Cys-GCA-1-1</t>
    </r>
  </si>
  <si>
    <t>GCCAAGAUGGCGGAGCGGCUACGCAAUCGCCUGCAGAGCGAUUCCAUUCCGGUUCGAAUCCGGAUCUUGGCU</t>
  </si>
  <si>
    <t>Cys (94.5 bits) / His (26.9 bits)</t>
  </si>
  <si>
    <r>
      <rPr>
        <u/>
        <sz val="10"/>
        <color rgb="FF1155CC"/>
        <rFont val="Arial"/>
        <family val="2"/>
      </rPr>
      <t>tRNA-Cys-GCA-2-1</t>
    </r>
  </si>
  <si>
    <t>GCCAAGAUGGCGGAGCGGCUACGCAAUCGCCUGCAGAGCGAUUUCAUUCCAGUUCGAAUCUGGAUCUUGGCU</t>
  </si>
  <si>
    <t>Cys (92.4 bits) / His (23.8 bits)</t>
  </si>
  <si>
    <r>
      <rPr>
        <u/>
        <sz val="10"/>
        <color rgb="FF1155CC"/>
        <rFont val="Arial"/>
        <family val="2"/>
      </rPr>
      <t>tRNA-Cys-GCA-3-1</t>
    </r>
  </si>
  <si>
    <t>GUCAGAAUGGCAGAGUGGCUAUGCUUCCGGCUGCAACCCGGAAUUACGUGAGUUCGAUUCUCACUUCUGACU</t>
  </si>
  <si>
    <t>Cys (70.3 bits) / Thr (18.8 bits)</t>
  </si>
  <si>
    <r>
      <rPr>
        <u/>
        <sz val="10"/>
        <color rgb="FF1155CC"/>
        <rFont val="Arial"/>
        <family val="2"/>
      </rPr>
      <t>tRNA-Gln-CTG-1-1</t>
    </r>
  </si>
  <si>
    <t>AGCCCGGUAGUGUAGUGGUCAAUCAUGCGGGACUCUGGAUCCUGCAACCUCGGUUCGAAUCCGUGCCGGGCUA</t>
  </si>
  <si>
    <t>Gln (95.7 bits) / Arg (53.4 bits)</t>
  </si>
  <si>
    <r>
      <rPr>
        <u/>
        <sz val="10"/>
        <color rgb="FF1155CC"/>
        <rFont val="Arial"/>
        <family val="2"/>
      </rPr>
      <t>tRNA-Gln-TTG-2-1</t>
    </r>
  </si>
  <si>
    <t>AGUCCUGUAGGGUAGUGGUCAAUCCUUCGGGCCUUUGGAGCCCGGGACAGCGGUUCGAAUCCGCUCAGGACUA</t>
  </si>
  <si>
    <t>Gln (102.4 bits) / Glu (64.5 bits)</t>
  </si>
  <si>
    <r>
      <rPr>
        <u/>
        <sz val="10"/>
        <color rgb="FF1155CC"/>
        <rFont val="Arial"/>
        <family val="2"/>
      </rPr>
      <t>tRNA-Gln-TTG-1-1</t>
    </r>
  </si>
  <si>
    <t>AGCCCUGUAGUGUAGCCAGGCCAAUCACUCUUGACUUUGGAUCAAGAAACCCCGGUUCAAAUCCGGGCAGGGCAA</t>
  </si>
  <si>
    <t>Gln (70.8 bits) / Glu (54.9 bits)</t>
  </si>
  <si>
    <r>
      <rPr>
        <u/>
        <sz val="10"/>
        <color rgb="FF1155CC"/>
        <rFont val="Arial"/>
        <family val="2"/>
      </rPr>
      <t>tRNA-Glu-CTC-1-1</t>
    </r>
  </si>
  <si>
    <t>GCUCCGAUAGUGUAGCUCGGCCAAUCAUUCAGGACUCUCACUCCUGCGACUGGGGUUCAAAUCCCCAUCGGAGCA</t>
  </si>
  <si>
    <t>Glu (108.6 bits) / Asp (81.6 bits)</t>
  </si>
  <si>
    <r>
      <rPr>
        <u/>
        <sz val="10"/>
        <color rgb="FF1155CC"/>
        <rFont val="Arial"/>
        <family val="2"/>
      </rPr>
      <t>tRNA-Glu-TTC-1-1</t>
    </r>
  </si>
  <si>
    <t>GCUCCGGUAGUGUAGUCCGGCCAAUCAUUCCGGCCUUUCGAGCCGAAGACUCGGGUUCGAAUCCCGGCCGGAGCACCA</t>
  </si>
  <si>
    <t>Glu (120.7 bits) / Asp (91.8 bits)</t>
  </si>
  <si>
    <r>
      <rPr>
        <u/>
        <sz val="10"/>
        <color rgb="FF1155CC"/>
        <rFont val="Arial"/>
        <family val="2"/>
      </rPr>
      <t>tRNA-Glu-TTC-1-2</t>
    </r>
  </si>
  <si>
    <r>
      <rPr>
        <u/>
        <sz val="10"/>
        <color rgb="FF1155CC"/>
        <rFont val="Arial"/>
        <family val="2"/>
      </rPr>
      <t>tRNA-Gly-CCC-1-1</t>
    </r>
  </si>
  <si>
    <t>GCGACUGUGGUUUAGUGGCUAUGACCUGAGCUUCCCAAGCUUAGAACCCGGGUUCGAAUCCCGGCAGUCGCA</t>
  </si>
  <si>
    <t>Gly (86.6 bits) / Pro (50.6 bits)</t>
  </si>
  <si>
    <r>
      <rPr>
        <u/>
        <sz val="10"/>
        <color rgb="FF1155CC"/>
        <rFont val="Arial"/>
        <family val="2"/>
      </rPr>
      <t>tRNA-Gly-GCC-1-1</t>
    </r>
  </si>
  <si>
    <t>ACAUCAGUAGUGUAGCGGUCAUCACCGGGCGUUGCCAACGCUCGAACCCGGGUUCGAAUCCCGGCUGGUGUA</t>
  </si>
  <si>
    <t>Gly (79.7 bits) / Gln (48.3 bits)</t>
  </si>
  <si>
    <r>
      <rPr>
        <u/>
        <sz val="10"/>
        <color rgb="FF1155CC"/>
        <rFont val="Arial"/>
        <family val="2"/>
      </rPr>
      <t>tRNA-Gly-GCC-1-2</t>
    </r>
  </si>
  <si>
    <r>
      <rPr>
        <u/>
        <sz val="10"/>
        <color rgb="FF1155CC"/>
        <rFont val="Arial"/>
        <family val="2"/>
      </rPr>
      <t>tRNA-Gly-GCC-1-3</t>
    </r>
  </si>
  <si>
    <r>
      <rPr>
        <u/>
        <sz val="10"/>
        <color rgb="FF1155CC"/>
        <rFont val="Arial"/>
        <family val="2"/>
      </rPr>
      <t>tRNA-Gly-TCC-1-1</t>
    </r>
  </si>
  <si>
    <t>GCGUUGAUGGUCUAGCGGCUAUGACUUGGGCCUUCCAAGCCCAAAACCCGGGUUCGAAUCCCGGUCGGCGCA</t>
  </si>
  <si>
    <t>Gly (93.0 bits) / Arg (65.1 bits)</t>
  </si>
  <si>
    <r>
      <rPr>
        <u/>
        <sz val="10"/>
        <color rgb="FF1155CC"/>
        <rFont val="Arial"/>
        <family val="2"/>
      </rPr>
      <t>tRNA-His-GTG-1-1</t>
    </r>
  </si>
  <si>
    <t>GCCGGGGUAGGGUAGAGGUCCAUCCUGUGGCCCUGUGGAGGCUACGACCCGAGUUCGAUUCUCGGUCCCGGCC</t>
  </si>
  <si>
    <t>His (90.3 bits) / Asp (58.9 bits)</t>
  </si>
  <si>
    <r>
      <rPr>
        <u/>
        <sz val="10"/>
        <color rgb="FF1155CC"/>
        <rFont val="Arial"/>
        <family val="2"/>
      </rPr>
      <t>tRNA-Ile-GAT-1-1</t>
    </r>
  </si>
  <si>
    <t>GGGCCCGUAGCUUAGCCUGGUGGAGCGCACGGCUGAUAACCGUGAGGUCCUGCGUUCGAAUCGCAGCGGGCCCACCA</t>
  </si>
  <si>
    <t>Ile (123.2 bits) / Ile2 (107.4 bits)</t>
  </si>
  <si>
    <r>
      <rPr>
        <u/>
        <sz val="10"/>
        <color rgb="FF1155CC"/>
        <rFont val="Arial"/>
        <family val="2"/>
      </rPr>
      <t>tRNA-Ile-GAT-1-2</t>
    </r>
  </si>
  <si>
    <r>
      <rPr>
        <u/>
        <sz val="10"/>
        <color rgb="FF1155CC"/>
        <rFont val="Arial"/>
        <family val="2"/>
      </rPr>
      <t>tRNA-Ile2-CAT-1-1</t>
    </r>
  </si>
  <si>
    <t>GGGCCCGUAGCUCAGUCAGGUUAGAGCGCUCGGCUCAUAACCGAGCGGUCACCGGUUCAAAUCCGGUCAGGCCCA</t>
  </si>
  <si>
    <t>Ile2 (116.1 bits) / Ile (101.5 bits)</t>
  </si>
  <si>
    <r>
      <rPr>
        <u/>
        <sz val="10"/>
        <color rgb="FF1155CC"/>
        <rFont val="Arial"/>
        <family val="2"/>
      </rPr>
      <t>tRNA-iMet-CAT-1-1</t>
    </r>
  </si>
  <si>
    <t>AGCGGGGUGGGGUAGCCAGGAGAUCCCGACGGGCUCAUAACCCGUAGACCGAUGGUUCGAAUCCAUCCCCCGCUA</t>
  </si>
  <si>
    <t>iMet (120.0 bits) / Gln (71.0 bits)</t>
  </si>
  <si>
    <r>
      <rPr>
        <u/>
        <sz val="10"/>
        <color rgb="FF1155CC"/>
        <rFont val="Arial"/>
        <family val="2"/>
      </rPr>
      <t>tRNA-iMet-CAT-1-2</t>
    </r>
  </si>
  <si>
    <r>
      <rPr>
        <u/>
        <sz val="10"/>
        <color rgb="FF1155CC"/>
        <rFont val="Arial"/>
        <family val="2"/>
      </rPr>
      <t>tRNA-Leu-CAA-1-1</t>
    </r>
  </si>
  <si>
    <t>GCGGGAGUAACCAAGCGGUCAACGGUGGCAGACUCAAGAUCUGUUCGUGCAGACGUUCAGGGGUUCGAAUCCCUUCUCCCGCA</t>
  </si>
  <si>
    <t>Leu (103.6 bits) / Ser (79.5 bits)</t>
  </si>
  <si>
    <r>
      <rPr>
        <u/>
        <sz val="10"/>
        <color rgb="FF1155CC"/>
        <rFont val="Arial"/>
        <family val="2"/>
      </rPr>
      <t>tRNA-Leu-CAG-1-1</t>
    </r>
  </si>
  <si>
    <t>GCGAGAGUUGCCCAGCCAGGUCAAAGGCGCCAGGUUCAGAGCCUGGUCUUGUAGGAGUUCGUGCGUUCGAAUCGCACCUCUCGCA</t>
  </si>
  <si>
    <t>Leu (110.8 bits) / Ser (58.1 bits)</t>
  </si>
  <si>
    <r>
      <rPr>
        <u/>
        <sz val="10"/>
        <color rgb="FF1155CC"/>
        <rFont val="Arial"/>
        <family val="2"/>
      </rPr>
      <t>tRNA-Leu-GAG-1-1</t>
    </r>
  </si>
  <si>
    <t>GCGAGGGUUGCCCAGCCAGGUCAAAGGCGCUAGGUUGAGGGCCUAGUUUCGUAGGAAUUCGUGGGUUCGAAUCCCAUCCCUCGCACCA</t>
  </si>
  <si>
    <t>Leu (125.1 bits) / Ser (75.5 bits)</t>
  </si>
  <si>
    <r>
      <rPr>
        <u/>
        <sz val="10"/>
        <color rgb="FF1155CC"/>
        <rFont val="Arial"/>
        <family val="2"/>
      </rPr>
      <t>tRNA-Leu-GAG-2-1</t>
    </r>
  </si>
  <si>
    <t>GCGAGGGUUGCCCAGCCAGGUCAAAGGCGCUAGGUUGAGGGCCUAGUUUCGUAGGAAUUCGUGGGUUCGAAUCCCAUCCCUCGCA</t>
  </si>
  <si>
    <t>Leu (119.9 bits) / Ser (69.8 bits)</t>
  </si>
  <si>
    <r>
      <rPr>
        <u/>
        <sz val="10"/>
        <color rgb="FF1155CC"/>
        <rFont val="Arial"/>
        <family val="2"/>
      </rPr>
      <t>tRNA-Leu-TAA-1-1</t>
    </r>
  </si>
  <si>
    <t>GCGAGGGUUGCCCAGCCAGGCCAAAGGCGCCAGACUUAAGAUCUGGUAUCGAAGGAUUUCGUGGGUUCGAAUCCCACCCCUCGCA</t>
  </si>
  <si>
    <t>Leu (121.8 bits) / Ser (84.5 bits)</t>
  </si>
  <si>
    <r>
      <rPr>
        <u/>
        <sz val="10"/>
        <color rgb="FF1155CC"/>
        <rFont val="Arial"/>
        <family val="2"/>
      </rPr>
      <t>tRNA-Leu-TAG-1-1</t>
    </r>
  </si>
  <si>
    <t>GCGAGGGUUGCCCAGCUAGGUCAAAGGCGAUGGGCUUAGGACCCAUUUUCGUAGGAAUUCGUGCGUUCGAAUCGCACCCCUCGCA</t>
  </si>
  <si>
    <t>Leu (117.5 bits) / Ser (76.6 bits)</t>
  </si>
  <si>
    <r>
      <rPr>
        <u/>
        <sz val="10"/>
        <color rgb="FF1155CC"/>
        <rFont val="Arial"/>
        <family val="2"/>
      </rPr>
      <t>tRNA-Lys-CTT-1-1</t>
    </r>
  </si>
  <si>
    <t>GGGCCCGUAGCUUAGUCAGGCAGAGCGAUGGACUCUUAAUCCAUAGGCCGGGGGUUCAAAUCCCUUCGGGCCCG</t>
  </si>
  <si>
    <t>Lys (113.6 bits) / Arg (88.9 bits)</t>
  </si>
  <si>
    <r>
      <rPr>
        <u/>
        <sz val="10"/>
        <color rgb="FF1155CC"/>
        <rFont val="Arial"/>
        <family val="2"/>
      </rPr>
      <t>tRNA-Lys-TTT-1-1</t>
    </r>
  </si>
  <si>
    <t>GGGCCCGUAGCUCAGUCAGGCAGAGCGACUGGCUUUUAACCAGUCGGCCUAGGGUUCAAAUCCCUACGGGCCCGCCA</t>
  </si>
  <si>
    <t>Lys (121.5 bits) / Ile2 (93.3 bits)</t>
  </si>
  <si>
    <r>
      <rPr>
        <u/>
        <sz val="10"/>
        <color rgb="FF1155CC"/>
        <rFont val="Arial"/>
        <family val="2"/>
      </rPr>
      <t>tRNA-Met-CAT-1-1</t>
    </r>
  </si>
  <si>
    <t>GCCCGGAUAGCCUAGUCGGUUGGGGCGCCAGACUCAUAAUCUGGAGGUCGCGUGUUCGAGUCACGCUCCGGGCA</t>
  </si>
  <si>
    <t>Met (103.6 bits) / Thr (72.5 bits)</t>
  </si>
  <si>
    <r>
      <rPr>
        <u/>
        <sz val="10"/>
        <color rgb="FF1155CC"/>
        <rFont val="Arial"/>
        <family val="2"/>
      </rPr>
      <t>tRNA-Phe-GAA-1-1</t>
    </r>
  </si>
  <si>
    <t>GCCCAGGUAGCUCAGUGGGAGAGCGCUGCCCUGAAGAGGCAGUUGUCCCCGGUUCGAAUCCGGGUCUGGGCACCA</t>
  </si>
  <si>
    <t>Phe (102.5 bits) / Tyr (67.3 bits)</t>
  </si>
  <si>
    <r>
      <rPr>
        <u/>
        <sz val="10"/>
        <color rgb="FF1155CC"/>
        <rFont val="Arial"/>
        <family val="2"/>
      </rPr>
      <t>tRNA-Phe-GAA-1-2</t>
    </r>
  </si>
  <si>
    <r>
      <rPr>
        <u/>
        <sz val="10"/>
        <color rgb="FF1155CC"/>
        <rFont val="Arial"/>
        <family val="2"/>
      </rPr>
      <t>tRNA-Pro-CGG-1-1</t>
    </r>
  </si>
  <si>
    <t>GGGACCGUAGGGUAGCUUGGUCCAUCCUUCGGCGUUCGGGACGCCGUAACCUGAGUUCGAAUCUCAGCGGUCCCA</t>
  </si>
  <si>
    <t>Pro (102.2 bits) / Gly (64.0 bits)</t>
  </si>
  <si>
    <r>
      <rPr>
        <u/>
        <sz val="10"/>
        <color rgb="FF1155CC"/>
        <rFont val="Arial"/>
        <family val="2"/>
      </rPr>
      <t>tRNA-Pro-GGG-1-1</t>
    </r>
  </si>
  <si>
    <t>GGGGCCGUAGGGUAGCUUGGUCCAUCCUGCAAGGCUGGGGGUCUUGCGACUUGAGUUCGAAUCUCAGCGGCCCCACCA</t>
  </si>
  <si>
    <t>Pro (100.4 bits) / Arg (58.8 bits)</t>
  </si>
  <si>
    <r>
      <rPr>
        <u/>
        <sz val="10"/>
        <color rgb="FF1155CC"/>
        <rFont val="Arial"/>
        <family val="2"/>
      </rPr>
      <t>tRNA-Pro-TGG-1-1</t>
    </r>
  </si>
  <si>
    <t>GGGAUAGUAGGGUAGCUUGGUCCAUCCUCGAGCGUUUGGGACGCUUGGACCGCGGUUCAAAUCCGCGCUAUCCCA</t>
  </si>
  <si>
    <t>Pro (93.5 bits) / Gln (52.6 bits)</t>
  </si>
  <si>
    <r>
      <rPr>
        <u/>
        <sz val="10"/>
        <color rgb="FF1155CC"/>
        <rFont val="Arial"/>
        <family val="2"/>
      </rPr>
      <t>tRNA-Ser-CGA-1-1</t>
    </r>
  </si>
  <si>
    <t>GCCCAGGUCGUCUAGUGGUAUGGCGACGGUCUCGAAAACCGUUCCCUUUGGGAUCGCAGGUUCAAAUCCUGCCCUGGGCG</t>
  </si>
  <si>
    <t>Ser (84.6 bits) / Cys (50.7 bits)</t>
  </si>
  <si>
    <r>
      <rPr>
        <u/>
        <sz val="10"/>
        <color rgb="FF1155CC"/>
        <rFont val="Arial"/>
        <family val="2"/>
      </rPr>
      <t>tRNA-Ser-GCT-1-1</t>
    </r>
  </si>
  <si>
    <t>GACGAGAUAGCCAAGCCCGGUAUGGCGUGGGAUUGCUAAUCCCAUGAUGCCCUGCAUCGCGGGGGUUCGAGUCCCCCUCUCGUCG</t>
  </si>
  <si>
    <t>Ser (82.1 bits) / Cys (51.5 bits)</t>
  </si>
  <si>
    <r>
      <rPr>
        <u/>
        <sz val="10"/>
        <color rgb="FF1155CC"/>
        <rFont val="Arial"/>
        <family val="2"/>
      </rPr>
      <t>tRNA-Ser-GGA-1-1</t>
    </r>
  </si>
  <si>
    <t>GCCGAGGUAGUCUAGCGGUAGGGCGCAAGCCUGGAAAGCUUGUGGGGCUUAGCCCCUCGGGAGUUCAAAUCUCCCCCUCGGCG</t>
  </si>
  <si>
    <t>Ser (103.5 bits) / Cys (71.6 bits)</t>
  </si>
  <si>
    <r>
      <rPr>
        <u/>
        <sz val="10"/>
        <color rgb="FF1155CC"/>
        <rFont val="Arial"/>
        <family val="2"/>
      </rPr>
      <t>tRNA-Ser-TGA-1-1</t>
    </r>
  </si>
  <si>
    <t>GCUGAGGUAGCCAAGCGGACCACGGCGCCGGUCUUGAAAACCGGUAGCGCCACGCGCUACGGGAGUUCGAAUCUCCCCCUCAGCG</t>
  </si>
  <si>
    <t>Ser (90.6 bits) / Cys (49.9 bits)</t>
  </si>
  <si>
    <r>
      <rPr>
        <u/>
        <sz val="10"/>
        <color rgb="FF1155CC"/>
        <rFont val="Arial"/>
        <family val="2"/>
      </rPr>
      <t>tRNA-Thr-CGT-1-1</t>
    </r>
  </si>
  <si>
    <t>GCCGUCGUGGCUUAGUGGUAUAGCGGCUGAUUCGUAAUCAGCAGGCCGAGGGUUCGAGUCCCUCCGGCGGCU</t>
  </si>
  <si>
    <t>Thr (88.8 bits) / Arg (63.4 bits)</t>
  </si>
  <si>
    <t>tRNA-Thr-GGT-1-1</t>
  </si>
  <si>
    <t>GCCUUGGUGGCUUAGGGGUAUAGCGCGUCCUUGGUAAGGACGAGGUCGCGGGUUCAAAUCCCGCCCGAGGCU</t>
  </si>
  <si>
    <t>Thr (100.0 bits) / Gly (62.2 bits)</t>
  </si>
  <si>
    <r>
      <rPr>
        <u/>
        <sz val="10"/>
        <color rgb="FF1155CC"/>
        <rFont val="Arial"/>
        <family val="2"/>
      </rPr>
      <t>tRNA-Thr-TGT-1-1</t>
    </r>
  </si>
  <si>
    <t>GCCUCGUUGGCUCAGCCCGGUAGAGCGAGUGACUUGUAAUCACUAGGUCGCGUGUUCAAAUCACGCACGGGGCU</t>
  </si>
  <si>
    <t>Thr (108.3 bits) / Met (65.5 bits)</t>
  </si>
  <si>
    <r>
      <rPr>
        <u/>
        <sz val="10"/>
        <color rgb="FF1155CC"/>
        <rFont val="Arial"/>
        <family val="2"/>
      </rPr>
      <t>tRNA-Trp-CCA-1-1</t>
    </r>
  </si>
  <si>
    <t>GGGGCUGUGGCCUAGCCCGGCAUGGCGAUGGGCUCCAGACCCGUCGAUCGUGAGUUCGAAUCUCACCAGCCCCA</t>
  </si>
  <si>
    <t>Trp (112.7 bits) / Arg (73.7 bits)</t>
  </si>
  <si>
    <r>
      <rPr>
        <u/>
        <sz val="10"/>
        <color rgb="FF1155CC"/>
        <rFont val="Arial"/>
        <family val="2"/>
      </rPr>
      <t>tRNA-Tyr-GTA-1-1</t>
    </r>
  </si>
  <si>
    <t>CCCGCCUUAACUCAGUGGUAGAGUGCGCGGCUGUAGACCGCGAUGUCCCCGGUUCGAGUCUGGGAGGCGGGA</t>
  </si>
  <si>
    <t>Tyr (108.9 bits) / Phe (63.9 bits)</t>
  </si>
  <si>
    <r>
      <rPr>
        <u/>
        <sz val="10"/>
        <color rgb="FF1155CC"/>
        <rFont val="Arial"/>
        <family val="2"/>
      </rPr>
      <t>tRNA-Val-CAC-1-1</t>
    </r>
  </si>
  <si>
    <t>GGGCUCGUGGUCUAGACGGUUAUGACGUCGCCUUCACACGGCGGAGGUCCUGAGUUCGAAUCUCAGCGGGCCCA</t>
  </si>
  <si>
    <t>Val (106.0 bits) / Gly (75.0 bits)</t>
  </si>
  <si>
    <r>
      <rPr>
        <u/>
        <sz val="10"/>
        <color rgb="FF1155CC"/>
        <rFont val="Arial"/>
        <family val="2"/>
      </rPr>
      <t>tRNA-Val-GAC-1-1</t>
    </r>
  </si>
  <si>
    <t>GGGCUCGUGGUCUAGACGGUUAUGACGUCGCCUUGACAUGGCGGAGGUCCUGAGUUCGAAUCUCAGCGGGCCCA</t>
  </si>
  <si>
    <t>Val (103.4 bits) / Gly (72.4 bits)</t>
  </si>
  <si>
    <r>
      <rPr>
        <u/>
        <sz val="10"/>
        <color rgb="FF1155CC"/>
        <rFont val="Arial"/>
        <family val="2"/>
      </rPr>
      <t>tRNA-Val-GAC-1-2</t>
    </r>
  </si>
  <si>
    <r>
      <rPr>
        <u/>
        <sz val="10"/>
        <color rgb="FF1155CC"/>
        <rFont val="Arial"/>
        <family val="2"/>
        <scheme val="minor"/>
      </rPr>
      <t>tRNA-Val-TAC-1-1</t>
    </r>
  </si>
  <si>
    <t>GGGCUCGUGGUCUAGUCGGUCAUGACAUCGCCUUUACACGGCGGGGAUCCUGAGUUCGAAUCUCAGCGGGCCCA</t>
  </si>
  <si>
    <t>Val (96.7 bits) / Gly (76.0 bits)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</si>
</sst>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4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1"/>
      <color theme="1"/>
      <name val="&quot;Helvetica Neue&quot;"/>
    </font>
    <font>
      <u/>
      <sz val="10"/>
      <color rgb="FF0000FF"/>
      <name val="Roboto"/>
    </font>
    <font>
      <sz val="11"/>
      <color rgb="FF222222"/>
      <name val="Monospace"/>
    </font>
    <font>
      <sz val="11"/>
      <color rgb="FF222222"/>
      <name val="&quot;Helvetica Neue&quot;"/>
    </font>
    <font>
      <u/>
      <sz val="10"/>
      <color rgb="FF0000FF"/>
      <name val="Roboto"/>
    </font>
    <font>
      <sz val="10"/>
      <color rgb="FF000000"/>
      <name val="Arial"/>
      <family val="2"/>
      <scheme val="minor"/>
    </font>
    <font>
      <sz val="11"/>
      <color rgb="FF222222"/>
      <name val="Arial"/>
      <family val="2"/>
    </font>
    <font>
      <sz val="10"/>
      <color rgb="FF222222"/>
      <name val="&quot;Helvetica Neue&quot;"/>
    </font>
    <font>
      <u/>
      <sz val="10"/>
      <color rgb="FF0000FF"/>
      <name val="&quot;Helvetica Neue&quot;"/>
    </font>
    <font>
      <u/>
      <sz val="10"/>
      <color rgb="FF1155CC"/>
      <name val="Arial"/>
      <family val="2"/>
    </font>
    <font>
      <u/>
      <sz val="10"/>
      <color rgb="FF1155CC"/>
      <name val="Arial"/>
      <family val="2"/>
      <scheme val="minor"/>
    </font>
    <font>
      <sz val="6"/>
      <name val="Arial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DDDDDD"/>
      </left>
      <right style="thin">
        <color rgb="FFDDDDDD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" fillId="0" borderId="0" xfId="0" applyFont="1"/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8" fillId="2" borderId="0" xfId="0" applyFont="1" applyFill="1" applyAlignment="1">
      <alignment horizontal="left" vertical="center"/>
    </xf>
    <xf numFmtId="0" fontId="9" fillId="2" borderId="1" xfId="0" applyFont="1" applyFill="1" applyBorder="1" applyAlignment="1">
      <alignment horizontal="left" vertical="center"/>
    </xf>
    <xf numFmtId="0" fontId="10" fillId="0" borderId="2" xfId="0" applyFont="1" applyBorder="1" applyAlignment="1">
      <alignment horizontal="left" vertical="center"/>
    </xf>
  </cellXfs>
  <cellStyles count="1">
    <cellStyle name="標準" xfId="0" builtinId="0"/>
  </cellStyles>
  <dxfs count="4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name="シート1-style" pivot="0" count="4" xr9:uid="{00000000-0011-0000-FFFF-FFFF00000000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表_1" displayName="表_1" ref="B2:I60">
  <tableColumns count="8">
    <tableColumn id="1" xr3:uid="{00000000-0010-0000-0000-000001000000}" name="列 1"/>
    <tableColumn id="2" xr3:uid="{00000000-0010-0000-0000-000002000000}" name="名前"/>
    <tableColumn id="3" xr3:uid="{00000000-0010-0000-0000-000003000000}" name="未修飾理論値 ( 5'-P, CCA補正 )"/>
    <tableColumn id="4" xr3:uid="{00000000-0010-0000-0000-000004000000}" name="配列"/>
    <tableColumn id="5" xr3:uid="{00000000-0010-0000-0000-000005000000}" name="nt"/>
    <tableColumn id="6" xr3:uid="{00000000-0010-0000-0000-000006000000}" name="anti-codon"/>
    <tableColumn id="7" xr3:uid="{00000000-0010-0000-0000-000007000000}" name="wobble位"/>
    <tableColumn id="8" xr3:uid="{00000000-0010-0000-0000-000008000000}" name="Top Scoring / Second Best Scoring Isotype Model"/>
  </tableColumns>
  <tableStyleInfo name="シート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gtrnadb.ucsc.edu/genomes/archaea/Meth_acet_C2A/genes/tRNA-Cys-GCA-2-1.html" TargetMode="External"/><Relationship Id="rId18" Type="http://schemas.openxmlformats.org/officeDocument/2006/relationships/hyperlink" Target="https://gtrnadb.ucsc.edu/genomes/archaea/Meth_acet_C2A/genes/tRNA-Glu-CTC-1-1.html" TargetMode="External"/><Relationship Id="rId26" Type="http://schemas.openxmlformats.org/officeDocument/2006/relationships/hyperlink" Target="https://gtrnadb.ucsc.edu/genomes/archaea/Meth_acet_C2A/genes/tRNA-His-GTG-1-1.html" TargetMode="External"/><Relationship Id="rId39" Type="http://schemas.openxmlformats.org/officeDocument/2006/relationships/hyperlink" Target="https://gtrnadb.ucsc.edu/genomes/archaea/Meth_acet_C2A/genes/tRNA-Lys-TTT-1-1.html" TargetMode="External"/><Relationship Id="rId21" Type="http://schemas.openxmlformats.org/officeDocument/2006/relationships/hyperlink" Target="https://gtrnadb.ucsc.edu/genomes/archaea/Meth_acet_C2A/genes/tRNA-Gly-CCC-1-1.html" TargetMode="External"/><Relationship Id="rId34" Type="http://schemas.openxmlformats.org/officeDocument/2006/relationships/hyperlink" Target="https://gtrnadb.ucsc.edu/genomes/archaea/Meth_acet_C2A/genes/tRNA-Leu-GAG-1-1.html" TargetMode="External"/><Relationship Id="rId42" Type="http://schemas.openxmlformats.org/officeDocument/2006/relationships/hyperlink" Target="https://gtrnadb.ucsc.edu/genomes/archaea/Meth_acet_C2A/genes/tRNA-Phe-GAA-1-2.html" TargetMode="External"/><Relationship Id="rId47" Type="http://schemas.openxmlformats.org/officeDocument/2006/relationships/hyperlink" Target="https://gtrnadb.ucsc.edu/genomes/archaea/Meth_acet_C2A/genes/tRNA-Ser-GCT-1-1.html" TargetMode="External"/><Relationship Id="rId50" Type="http://schemas.openxmlformats.org/officeDocument/2006/relationships/hyperlink" Target="https://gtrnadb.ucsc.edu/genomes/archaea/Meth_acet_C2A/genes/tRNA-Thr-CGT-1-1.html" TargetMode="External"/><Relationship Id="rId55" Type="http://schemas.openxmlformats.org/officeDocument/2006/relationships/hyperlink" Target="https://gtrnadb.ucsc.edu/genomes/archaea/Meth_acet_C2A/genes/tRNA-Val-CAC-1-1.html" TargetMode="External"/><Relationship Id="rId7" Type="http://schemas.openxmlformats.org/officeDocument/2006/relationships/hyperlink" Target="https://gtrnadb.ucsc.edu/genomes/archaea/Meth_acet_C2A/genes/tRNA-Arg-TCG-1-1.html" TargetMode="External"/><Relationship Id="rId2" Type="http://schemas.openxmlformats.org/officeDocument/2006/relationships/hyperlink" Target="https://gtrnadb.ucsc.edu/genomes/archaea/Meth_acet_C2A/genes/tRNA-Ala-GGC-1-1.html" TargetMode="External"/><Relationship Id="rId16" Type="http://schemas.openxmlformats.org/officeDocument/2006/relationships/hyperlink" Target="https://gtrnadb.ucsc.edu/genomes/archaea/Meth_acet_C2A/genes/tRNA-Gln-TTG-2-1.html" TargetMode="External"/><Relationship Id="rId29" Type="http://schemas.openxmlformats.org/officeDocument/2006/relationships/hyperlink" Target="https://gtrnadb.ucsc.edu/genomes/archaea/Meth_acet_C2A/genes/tRNA-Ile2-CAT-1-1.html" TargetMode="External"/><Relationship Id="rId11" Type="http://schemas.openxmlformats.org/officeDocument/2006/relationships/hyperlink" Target="https://gtrnadb.ucsc.edu/genomes/archaea/Meth_acet_C2A/genes/tRNA-Asp-GTC-1-1.html" TargetMode="External"/><Relationship Id="rId24" Type="http://schemas.openxmlformats.org/officeDocument/2006/relationships/hyperlink" Target="https://gtrnadb.ucsc.edu/genomes/archaea/Meth_acet_C2A/genes/tRNA-Gly-GCC-1-3.html" TargetMode="External"/><Relationship Id="rId32" Type="http://schemas.openxmlformats.org/officeDocument/2006/relationships/hyperlink" Target="https://gtrnadb.ucsc.edu/genomes/archaea/Meth_acet_C2A/genes/tRNA-Leu-CAA-1-1.html" TargetMode="External"/><Relationship Id="rId37" Type="http://schemas.openxmlformats.org/officeDocument/2006/relationships/hyperlink" Target="https://gtrnadb.ucsc.edu/genomes/archaea/Meth_acet_C2A/genes/tRNA-Leu-TAG-1-1.html" TargetMode="External"/><Relationship Id="rId40" Type="http://schemas.openxmlformats.org/officeDocument/2006/relationships/hyperlink" Target="https://gtrnadb.ucsc.edu/genomes/archaea/Meth_acet_C2A/genes/tRNA-Met-CAT-1-1.html" TargetMode="External"/><Relationship Id="rId45" Type="http://schemas.openxmlformats.org/officeDocument/2006/relationships/hyperlink" Target="https://gtrnadb.ucsc.edu/genomes/archaea/Meth_acet_C2A/genes/tRNA-Pro-TGG-1-1.html" TargetMode="External"/><Relationship Id="rId53" Type="http://schemas.openxmlformats.org/officeDocument/2006/relationships/hyperlink" Target="https://gtrnadb.ucsc.edu/genomes/archaea/Meth_acet_C2A/genes/tRNA-Trp-CCA-1-1.html" TargetMode="External"/><Relationship Id="rId58" Type="http://schemas.openxmlformats.org/officeDocument/2006/relationships/hyperlink" Target="https://gtrnadb.ucsc.edu/genomes/archaea/Meth_acet_C2A/genes/tRNA-Val-TAC-1-1.html" TargetMode="External"/><Relationship Id="rId5" Type="http://schemas.openxmlformats.org/officeDocument/2006/relationships/hyperlink" Target="https://gtrnadb.ucsc.edu/genomes/archaea/Meth_acet_C2A/genes/tRNA-Arg-CCT-1-1.html" TargetMode="External"/><Relationship Id="rId19" Type="http://schemas.openxmlformats.org/officeDocument/2006/relationships/hyperlink" Target="https://gtrnadb.ucsc.edu/genomes/archaea/Meth_acet_C2A/genes/tRNA-Glu-TTC-1-1.html" TargetMode="External"/><Relationship Id="rId4" Type="http://schemas.openxmlformats.org/officeDocument/2006/relationships/hyperlink" Target="https://gtrnadb.ucsc.edu/genomes/archaea/Meth_acet_C2A/genes/tRNA-Arg-CCG-1-1.html" TargetMode="External"/><Relationship Id="rId9" Type="http://schemas.openxmlformats.org/officeDocument/2006/relationships/hyperlink" Target="https://gtrnadb.ucsc.edu/genomes/archaea/Meth_acet_C2A/genes/tRNA-Asn-GTT-1-1.html" TargetMode="External"/><Relationship Id="rId14" Type="http://schemas.openxmlformats.org/officeDocument/2006/relationships/hyperlink" Target="https://gtrnadb.ucsc.edu/genomes/archaea/Meth_acet_C2A/genes/tRNA-Cys-GCA-3-1.html" TargetMode="External"/><Relationship Id="rId22" Type="http://schemas.openxmlformats.org/officeDocument/2006/relationships/hyperlink" Target="https://gtrnadb.ucsc.edu/genomes/archaea/Meth_acet_C2A/genes/tRNA-Gly-GCC-1-1.html" TargetMode="External"/><Relationship Id="rId27" Type="http://schemas.openxmlformats.org/officeDocument/2006/relationships/hyperlink" Target="https://gtrnadb.ucsc.edu/genomes/archaea/Meth_acet_C2A/genes/tRNA-Ile-GAT-1-1.html" TargetMode="External"/><Relationship Id="rId30" Type="http://schemas.openxmlformats.org/officeDocument/2006/relationships/hyperlink" Target="https://gtrnadb.ucsc.edu/genomes/archaea/Meth_acet_C2A/genes/tRNA-iMet-CAT-1-1.html" TargetMode="External"/><Relationship Id="rId35" Type="http://schemas.openxmlformats.org/officeDocument/2006/relationships/hyperlink" Target="https://gtrnadb.ucsc.edu/genomes/archaea/Meth_acet_C2A/genes/tRNA-Leu-GAG-2-1.html" TargetMode="External"/><Relationship Id="rId43" Type="http://schemas.openxmlformats.org/officeDocument/2006/relationships/hyperlink" Target="https://gtrnadb.ucsc.edu/genomes/archaea/Meth_acet_C2A/genes/tRNA-Pro-CGG-1-1.html" TargetMode="External"/><Relationship Id="rId48" Type="http://schemas.openxmlformats.org/officeDocument/2006/relationships/hyperlink" Target="https://gtrnadb.ucsc.edu/genomes/archaea/Meth_acet_C2A/genes/tRNA-Ser-GGA-1-1.html" TargetMode="External"/><Relationship Id="rId56" Type="http://schemas.openxmlformats.org/officeDocument/2006/relationships/hyperlink" Target="https://gtrnadb.ucsc.edu/genomes/archaea/Meth_acet_C2A/genes/tRNA-Val-GAC-1-1.html" TargetMode="External"/><Relationship Id="rId8" Type="http://schemas.openxmlformats.org/officeDocument/2006/relationships/hyperlink" Target="https://gtrnadb.ucsc.edu/genomes/archaea/Meth_acet_C2A/genes/tRNA-Arg-TCT-1-1.html" TargetMode="External"/><Relationship Id="rId51" Type="http://schemas.openxmlformats.org/officeDocument/2006/relationships/hyperlink" Target="https://gtrnadb.ucsc.edu/genomes/archaea/Meth_acet_C2A/genes/tRNA-Thr-GGT-1-1.html" TargetMode="External"/><Relationship Id="rId3" Type="http://schemas.openxmlformats.org/officeDocument/2006/relationships/hyperlink" Target="https://gtrnadb.ucsc.edu/genomes/archaea/Meth_acet_C2A/genes/tRNA-Ala-TGC-1-1.html" TargetMode="External"/><Relationship Id="rId12" Type="http://schemas.openxmlformats.org/officeDocument/2006/relationships/hyperlink" Target="https://gtrnadb.ucsc.edu/genomes/archaea/Meth_acet_C2A/genes/tRNA-Cys-GCA-1-1.html" TargetMode="External"/><Relationship Id="rId17" Type="http://schemas.openxmlformats.org/officeDocument/2006/relationships/hyperlink" Target="https://gtrnadb.ucsc.edu/genomes/archaea/Meth_acet_C2A/genes/tRNA-Gln-TTG-1-1.html" TargetMode="External"/><Relationship Id="rId25" Type="http://schemas.openxmlformats.org/officeDocument/2006/relationships/hyperlink" Target="https://gtrnadb.ucsc.edu/genomes/archaea/Meth_acet_C2A/genes/tRNA-Gly-TCC-1-1.html" TargetMode="External"/><Relationship Id="rId33" Type="http://schemas.openxmlformats.org/officeDocument/2006/relationships/hyperlink" Target="https://gtrnadb.ucsc.edu/genomes/archaea/Meth_acet_C2A/genes/tRNA-Leu-CAG-1-1.html" TargetMode="External"/><Relationship Id="rId38" Type="http://schemas.openxmlformats.org/officeDocument/2006/relationships/hyperlink" Target="https://gtrnadb.ucsc.edu/genomes/archaea/Meth_acet_C2A/genes/tRNA-Lys-CTT-1-1.html" TargetMode="External"/><Relationship Id="rId46" Type="http://schemas.openxmlformats.org/officeDocument/2006/relationships/hyperlink" Target="https://gtrnadb.ucsc.edu/genomes/archaea/Meth_acet_C2A/genes/tRNA-Ser-CGA-1-1.html" TargetMode="External"/><Relationship Id="rId59" Type="http://schemas.openxmlformats.org/officeDocument/2006/relationships/table" Target="../tables/table1.xml"/><Relationship Id="rId20" Type="http://schemas.openxmlformats.org/officeDocument/2006/relationships/hyperlink" Target="https://gtrnadb.ucsc.edu/genomes/archaea/Meth_acet_C2A/genes/tRNA-Glu-TTC-1-2.html" TargetMode="External"/><Relationship Id="rId41" Type="http://schemas.openxmlformats.org/officeDocument/2006/relationships/hyperlink" Target="https://gtrnadb.ucsc.edu/genomes/archaea/Meth_acet_C2A/genes/tRNA-Phe-GAA-1-1.html" TargetMode="External"/><Relationship Id="rId54" Type="http://schemas.openxmlformats.org/officeDocument/2006/relationships/hyperlink" Target="https://gtrnadb.ucsc.edu/genomes/archaea/Meth_acet_C2A/genes/tRNA-Tyr-GTA-1-1.html" TargetMode="External"/><Relationship Id="rId1" Type="http://schemas.openxmlformats.org/officeDocument/2006/relationships/hyperlink" Target="https://gtrnadb.ucsc.edu/genomes/archaea/Meth_acet_C2A/genes/tRNA-Ala-CGC-1-1.html" TargetMode="External"/><Relationship Id="rId6" Type="http://schemas.openxmlformats.org/officeDocument/2006/relationships/hyperlink" Target="https://gtrnadb.ucsc.edu/genomes/archaea/Meth_acet_C2A/genes/tRNA-Arg-GCG-1-1.html" TargetMode="External"/><Relationship Id="rId15" Type="http://schemas.openxmlformats.org/officeDocument/2006/relationships/hyperlink" Target="https://gtrnadb.ucsc.edu/genomes/archaea/Meth_acet_C2A/genes/tRNA-Gln-CTG-1-1.html" TargetMode="External"/><Relationship Id="rId23" Type="http://schemas.openxmlformats.org/officeDocument/2006/relationships/hyperlink" Target="https://gtrnadb.ucsc.edu/genomes/archaea/Meth_acet_C2A/genes/tRNA-Gly-GCC-1-2.html" TargetMode="External"/><Relationship Id="rId28" Type="http://schemas.openxmlformats.org/officeDocument/2006/relationships/hyperlink" Target="https://gtrnadb.ucsc.edu/genomes/archaea/Meth_acet_C2A/genes/tRNA-Ile-GAT-1-2.html" TargetMode="External"/><Relationship Id="rId36" Type="http://schemas.openxmlformats.org/officeDocument/2006/relationships/hyperlink" Target="https://gtrnadb.ucsc.edu/genomes/archaea/Meth_acet_C2A/genes/tRNA-Leu-TAA-1-1.html" TargetMode="External"/><Relationship Id="rId49" Type="http://schemas.openxmlformats.org/officeDocument/2006/relationships/hyperlink" Target="https://gtrnadb.ucsc.edu/genomes/archaea/Meth_acet_C2A/genes/tRNA-Ser-TGA-1-1.html" TargetMode="External"/><Relationship Id="rId57" Type="http://schemas.openxmlformats.org/officeDocument/2006/relationships/hyperlink" Target="https://gtrnadb.ucsc.edu/genomes/archaea/Meth_acet_C2A/genes/tRNA-Val-GAC-1-2.html" TargetMode="External"/><Relationship Id="rId10" Type="http://schemas.openxmlformats.org/officeDocument/2006/relationships/hyperlink" Target="https://gtrnadb.ucsc.edu/genomes/archaea/Meth_acet_C2A/genes/tRNA-Asn-GTT-1-2.html" TargetMode="External"/><Relationship Id="rId31" Type="http://schemas.openxmlformats.org/officeDocument/2006/relationships/hyperlink" Target="https://gtrnadb.ucsc.edu/genomes/archaea/Meth_acet_C2A/genes/tRNA-iMet-CAT-1-2.html" TargetMode="External"/><Relationship Id="rId44" Type="http://schemas.openxmlformats.org/officeDocument/2006/relationships/hyperlink" Target="https://gtrnadb.ucsc.edu/genomes/archaea/Meth_acet_C2A/genes/tRNA-Pro-GGG-1-1.html" TargetMode="External"/><Relationship Id="rId52" Type="http://schemas.openxmlformats.org/officeDocument/2006/relationships/hyperlink" Target="https://gtrnadb.ucsc.edu/genomes/archaea/Meth_acet_C2A/genes/tRNA-Thr-TGT-1-1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B2:L60"/>
  <sheetViews>
    <sheetView tabSelected="1" zoomScale="70" zoomScaleNormal="70" workbookViewId="0">
      <selection activeCell="A3" sqref="A3:A60"/>
    </sheetView>
  </sheetViews>
  <sheetFormatPr defaultColWidth="12.5703125" defaultRowHeight="15.75" customHeight="1"/>
  <cols>
    <col min="2" max="2" width="4.140625" customWidth="1"/>
    <col min="3" max="3" width="16.7109375" customWidth="1"/>
    <col min="4" max="4" width="31" customWidth="1"/>
    <col min="5" max="5" width="141.42578125" customWidth="1"/>
    <col min="6" max="6" width="4.140625" customWidth="1"/>
    <col min="7" max="7" width="13.42578125" customWidth="1"/>
    <col min="8" max="8" width="15.7109375" customWidth="1"/>
    <col min="9" max="9" width="37.5703125" customWidth="1"/>
  </cols>
  <sheetData>
    <row r="2" spans="2:12" ht="22.5" customHeight="1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2" t="s">
        <v>7</v>
      </c>
      <c r="K2" s="3" t="s">
        <v>8</v>
      </c>
      <c r="L2" s="3">
        <f>305.0413</f>
        <v>305.04129999999998</v>
      </c>
    </row>
    <row r="3" spans="2:12" ht="22.5" customHeight="1">
      <c r="B3" s="4">
        <v>1</v>
      </c>
      <c r="C3" s="5" t="s">
        <v>9</v>
      </c>
      <c r="D3" s="4">
        <v>23333.067999999999</v>
      </c>
      <c r="E3" s="6" t="s">
        <v>10</v>
      </c>
      <c r="F3" s="4">
        <v>72</v>
      </c>
      <c r="G3" s="4" t="str">
        <f t="shared" ref="G3:G60" si="0">MID(C3,FIND(CHAR(160),SUBSTITUTE(C3,"-",CHAR(160),2)) + 1,FIND(CHAR(160),SUBSTITUTE(C3,"-",CHAR(160),3)) - 1 - (FIND(CHAR(160),SUBSTITUTE(C3,"-",CHAR(160),2))))</f>
        <v>CGC</v>
      </c>
      <c r="H3" s="4">
        <v>33</v>
      </c>
      <c r="I3" s="7" t="s">
        <v>11</v>
      </c>
      <c r="K3" s="3" t="s">
        <v>12</v>
      </c>
      <c r="L3" s="3">
        <f>329.0525</f>
        <v>329.05250000000001</v>
      </c>
    </row>
    <row r="4" spans="2:12" ht="22.5" customHeight="1">
      <c r="B4" s="4">
        <v>2</v>
      </c>
      <c r="C4" s="8" t="s">
        <v>13</v>
      </c>
      <c r="D4" s="9">
        <v>23342.027999999998</v>
      </c>
      <c r="E4" s="6" t="s">
        <v>14</v>
      </c>
      <c r="F4" s="4">
        <v>72</v>
      </c>
      <c r="G4" s="4" t="str">
        <f t="shared" si="0"/>
        <v>GGC</v>
      </c>
      <c r="H4" s="4">
        <v>33</v>
      </c>
      <c r="I4" s="7" t="s">
        <v>15</v>
      </c>
    </row>
    <row r="5" spans="2:12" ht="22.5" customHeight="1">
      <c r="B5" s="4">
        <v>3</v>
      </c>
      <c r="C5" s="8" t="s">
        <v>16</v>
      </c>
      <c r="D5" s="9">
        <v>23632.197</v>
      </c>
      <c r="E5" s="6" t="s">
        <v>17</v>
      </c>
      <c r="F5" s="4">
        <v>73</v>
      </c>
      <c r="G5" s="4" t="str">
        <f t="shared" si="0"/>
        <v>TGC</v>
      </c>
      <c r="H5" s="4">
        <v>37</v>
      </c>
      <c r="I5" s="7" t="s">
        <v>18</v>
      </c>
    </row>
    <row r="6" spans="2:12" ht="22.5" customHeight="1">
      <c r="B6" s="4">
        <v>4</v>
      </c>
      <c r="C6" s="8" t="s">
        <v>19</v>
      </c>
      <c r="D6" s="9">
        <f>23263.948+2*$L$2+$L$3</f>
        <v>24203.083100000003</v>
      </c>
      <c r="E6" s="6" t="s">
        <v>20</v>
      </c>
      <c r="F6" s="4">
        <v>72</v>
      </c>
      <c r="G6" s="4" t="str">
        <f t="shared" si="0"/>
        <v>CCG</v>
      </c>
      <c r="H6" s="4">
        <v>34</v>
      </c>
      <c r="I6" s="7" t="s">
        <v>21</v>
      </c>
    </row>
    <row r="7" spans="2:12" ht="22.5" customHeight="1">
      <c r="B7" s="4">
        <v>5</v>
      </c>
      <c r="C7" s="8" t="s">
        <v>22</v>
      </c>
      <c r="D7" s="9">
        <f>24209.53+2*$L$2+$L$3</f>
        <v>25148.665100000002</v>
      </c>
      <c r="E7" s="6" t="s">
        <v>23</v>
      </c>
      <c r="F7" s="4">
        <v>75</v>
      </c>
      <c r="G7" s="4" t="str">
        <f t="shared" si="0"/>
        <v>CCT</v>
      </c>
      <c r="H7" s="4">
        <v>36</v>
      </c>
      <c r="I7" s="7" t="s">
        <v>24</v>
      </c>
    </row>
    <row r="8" spans="2:12" ht="22.5" customHeight="1">
      <c r="B8" s="4">
        <v>6</v>
      </c>
      <c r="C8" s="8" t="s">
        <v>25</v>
      </c>
      <c r="D8" s="9">
        <f>23304.958+2*$L$2+$L$3</f>
        <v>24244.093100000002</v>
      </c>
      <c r="E8" s="6" t="s">
        <v>26</v>
      </c>
      <c r="F8" s="4">
        <v>72</v>
      </c>
      <c r="G8" s="4" t="str">
        <f t="shared" si="0"/>
        <v>GCG</v>
      </c>
      <c r="H8" s="4">
        <v>34</v>
      </c>
      <c r="I8" s="7" t="s">
        <v>27</v>
      </c>
    </row>
    <row r="9" spans="2:12" ht="22.5" customHeight="1">
      <c r="B9" s="4">
        <v>7</v>
      </c>
      <c r="C9" s="8" t="s">
        <v>28</v>
      </c>
      <c r="D9" s="9">
        <f>23946.341+2*$L$2+$L$3</f>
        <v>24885.476100000003</v>
      </c>
      <c r="E9" s="10" t="s">
        <v>29</v>
      </c>
      <c r="F9" s="4">
        <v>74</v>
      </c>
      <c r="G9" s="4" t="str">
        <f t="shared" si="0"/>
        <v>TCG</v>
      </c>
      <c r="H9" s="4">
        <v>36</v>
      </c>
      <c r="I9" s="7" t="s">
        <v>30</v>
      </c>
    </row>
    <row r="10" spans="2:12" ht="22.5" customHeight="1">
      <c r="B10" s="4">
        <v>8</v>
      </c>
      <c r="C10" s="8" t="s">
        <v>31</v>
      </c>
      <c r="D10" s="9">
        <f>23263.948+2*$L$2+$L$3</f>
        <v>24203.083100000003</v>
      </c>
      <c r="E10" s="6" t="s">
        <v>32</v>
      </c>
      <c r="F10" s="4">
        <v>75</v>
      </c>
      <c r="G10" s="4" t="str">
        <f t="shared" si="0"/>
        <v>TCT</v>
      </c>
      <c r="H10" s="4">
        <v>36</v>
      </c>
      <c r="I10" s="7" t="s">
        <v>33</v>
      </c>
    </row>
    <row r="11" spans="2:12" ht="22.5" customHeight="1">
      <c r="B11" s="4">
        <v>9</v>
      </c>
      <c r="C11" s="8" t="s">
        <v>34</v>
      </c>
      <c r="D11" s="9">
        <f>23572.087+2*$L$2+$L$3</f>
        <v>24511.222100000003</v>
      </c>
      <c r="E11" s="6" t="s">
        <v>35</v>
      </c>
      <c r="F11" s="4">
        <v>73</v>
      </c>
      <c r="G11" s="4" t="str">
        <f t="shared" si="0"/>
        <v>GTT</v>
      </c>
      <c r="H11" s="4">
        <v>34</v>
      </c>
      <c r="I11" s="7" t="s">
        <v>36</v>
      </c>
    </row>
    <row r="12" spans="2:12" ht="22.5" customHeight="1">
      <c r="B12" s="4">
        <v>10</v>
      </c>
      <c r="C12" s="8" t="s">
        <v>37</v>
      </c>
      <c r="D12" s="9">
        <f>23572.087+2*$L$2+$L$3</f>
        <v>24511.222100000003</v>
      </c>
      <c r="E12" s="6" t="s">
        <v>35</v>
      </c>
      <c r="F12" s="4">
        <v>73</v>
      </c>
      <c r="G12" s="4" t="str">
        <f t="shared" si="0"/>
        <v>GTT</v>
      </c>
      <c r="H12" s="4">
        <v>34</v>
      </c>
      <c r="I12" s="7" t="s">
        <v>36</v>
      </c>
    </row>
    <row r="13" spans="2:12" ht="22.5" customHeight="1">
      <c r="B13" s="4">
        <v>11</v>
      </c>
      <c r="C13" s="8" t="s">
        <v>38</v>
      </c>
      <c r="D13" s="9">
        <f>23616.147+2*$L$2+$L$3</f>
        <v>24555.282100000004</v>
      </c>
      <c r="E13" s="6" t="s">
        <v>39</v>
      </c>
      <c r="F13" s="4">
        <v>73</v>
      </c>
      <c r="G13" s="4" t="str">
        <f t="shared" si="0"/>
        <v>GTC</v>
      </c>
      <c r="H13" s="4">
        <v>35</v>
      </c>
      <c r="I13" s="7" t="s">
        <v>40</v>
      </c>
    </row>
    <row r="14" spans="2:12" ht="22.5" customHeight="1">
      <c r="B14" s="4">
        <v>12</v>
      </c>
      <c r="C14" s="8" t="s">
        <v>41</v>
      </c>
      <c r="D14" s="9">
        <f>23222.938+2*$L$2+$L$3</f>
        <v>24162.073100000001</v>
      </c>
      <c r="E14" s="6" t="s">
        <v>42</v>
      </c>
      <c r="F14" s="4">
        <v>72</v>
      </c>
      <c r="G14" s="4" t="str">
        <f t="shared" si="0"/>
        <v>GCA</v>
      </c>
      <c r="H14" s="4">
        <v>33</v>
      </c>
      <c r="I14" s="7" t="s">
        <v>43</v>
      </c>
    </row>
    <row r="15" spans="2:12" ht="22.5" customHeight="1">
      <c r="B15" s="4">
        <v>13</v>
      </c>
      <c r="C15" s="8" t="s">
        <v>44</v>
      </c>
      <c r="D15" s="9">
        <f>23208.908+2*$L$2+$L$3</f>
        <v>24148.043100000003</v>
      </c>
      <c r="E15" s="6" t="s">
        <v>45</v>
      </c>
      <c r="F15" s="4">
        <v>72</v>
      </c>
      <c r="G15" s="4" t="str">
        <f t="shared" si="0"/>
        <v>GCA</v>
      </c>
      <c r="H15" s="4">
        <v>33</v>
      </c>
      <c r="I15" s="7" t="s">
        <v>46</v>
      </c>
    </row>
    <row r="16" spans="2:12" ht="22.5" customHeight="1">
      <c r="B16" s="4">
        <v>14</v>
      </c>
      <c r="C16" s="8" t="s">
        <v>47</v>
      </c>
      <c r="D16" s="9">
        <f>23131.813+2*$L$2+$L$3</f>
        <v>24070.948100000001</v>
      </c>
      <c r="E16" s="6" t="s">
        <v>48</v>
      </c>
      <c r="F16" s="4">
        <v>72</v>
      </c>
      <c r="G16" s="4" t="str">
        <f t="shared" si="0"/>
        <v>GCA</v>
      </c>
      <c r="H16" s="4">
        <v>33</v>
      </c>
      <c r="I16" s="7" t="s">
        <v>49</v>
      </c>
    </row>
    <row r="17" spans="2:9" ht="22.5" customHeight="1">
      <c r="B17" s="4">
        <v>15</v>
      </c>
      <c r="C17" s="8" t="s">
        <v>50</v>
      </c>
      <c r="D17" s="9">
        <f>23546.092+2*$L$2+$L$3</f>
        <v>24485.227100000004</v>
      </c>
      <c r="E17" s="6" t="s">
        <v>51</v>
      </c>
      <c r="F17" s="4">
        <v>73</v>
      </c>
      <c r="G17" s="4" t="str">
        <f t="shared" si="0"/>
        <v>CTG</v>
      </c>
      <c r="H17" s="4">
        <v>35</v>
      </c>
      <c r="I17" s="7" t="s">
        <v>52</v>
      </c>
    </row>
    <row r="18" spans="2:9" ht="22.5" customHeight="1">
      <c r="B18" s="4">
        <v>16</v>
      </c>
      <c r="C18" s="8" t="s">
        <v>53</v>
      </c>
      <c r="D18" s="9">
        <f>23586.117+2*$L$2+$L$3</f>
        <v>24525.252100000002</v>
      </c>
      <c r="E18" s="6" t="s">
        <v>54</v>
      </c>
      <c r="F18" s="4">
        <v>73</v>
      </c>
      <c r="G18" s="4" t="str">
        <f t="shared" si="0"/>
        <v>TTG</v>
      </c>
      <c r="H18" s="4">
        <v>35</v>
      </c>
      <c r="I18" s="7" t="s">
        <v>55</v>
      </c>
    </row>
    <row r="19" spans="2:9" ht="22.5" customHeight="1">
      <c r="B19" s="4">
        <v>17</v>
      </c>
      <c r="C19" s="8" t="s">
        <v>56</v>
      </c>
      <c r="D19" s="9">
        <f>24162.565+2*$L$2+$L$3</f>
        <v>25101.700100000002</v>
      </c>
      <c r="E19" s="6" t="s">
        <v>57</v>
      </c>
      <c r="F19" s="4">
        <v>75</v>
      </c>
      <c r="G19" s="4" t="str">
        <f t="shared" si="0"/>
        <v>TTG</v>
      </c>
      <c r="H19" s="4">
        <v>37</v>
      </c>
      <c r="I19" s="7" t="s">
        <v>58</v>
      </c>
    </row>
    <row r="20" spans="2:9" ht="22.5" customHeight="1">
      <c r="B20" s="4">
        <v>18</v>
      </c>
      <c r="C20" s="8" t="s">
        <v>59</v>
      </c>
      <c r="D20" s="9">
        <f>24028.41+2*$L$2+$L$3</f>
        <v>24967.545100000003</v>
      </c>
      <c r="E20" s="6" t="s">
        <v>60</v>
      </c>
      <c r="F20" s="4">
        <v>75</v>
      </c>
      <c r="G20" s="4" t="str">
        <f t="shared" si="0"/>
        <v>CTC</v>
      </c>
      <c r="H20" s="4">
        <v>37</v>
      </c>
      <c r="I20" s="7" t="s">
        <v>61</v>
      </c>
    </row>
    <row r="21" spans="2:9" ht="22.5" customHeight="1">
      <c r="B21" s="4">
        <v>19</v>
      </c>
      <c r="C21" s="8" t="s">
        <v>62</v>
      </c>
      <c r="D21" s="9">
        <v>25094.066999999999</v>
      </c>
      <c r="E21" s="6" t="s">
        <v>63</v>
      </c>
      <c r="F21" s="4">
        <v>78</v>
      </c>
      <c r="G21" s="4" t="str">
        <f t="shared" si="0"/>
        <v>TTC</v>
      </c>
      <c r="H21" s="4">
        <v>37</v>
      </c>
      <c r="I21" s="7" t="s">
        <v>64</v>
      </c>
    </row>
    <row r="22" spans="2:9" ht="22.5" customHeight="1">
      <c r="B22" s="4">
        <v>20</v>
      </c>
      <c r="C22" s="8" t="s">
        <v>65</v>
      </c>
      <c r="D22" s="9">
        <v>25094.066999999999</v>
      </c>
      <c r="E22" s="6" t="s">
        <v>63</v>
      </c>
      <c r="F22" s="4">
        <v>78</v>
      </c>
      <c r="G22" s="4" t="str">
        <f t="shared" si="0"/>
        <v>TTC</v>
      </c>
      <c r="H22" s="4">
        <v>37</v>
      </c>
      <c r="I22" s="7" t="s">
        <v>64</v>
      </c>
    </row>
    <row r="23" spans="2:9" ht="22.5" customHeight="1">
      <c r="B23" s="4">
        <v>21</v>
      </c>
      <c r="C23" s="8" t="s">
        <v>66</v>
      </c>
      <c r="D23" s="9">
        <f>23184.883+2*$L$2+$L$3</f>
        <v>24124.018100000005</v>
      </c>
      <c r="E23" s="6" t="s">
        <v>67</v>
      </c>
      <c r="F23" s="4">
        <v>72</v>
      </c>
      <c r="G23" s="4" t="str">
        <f t="shared" si="0"/>
        <v>CCC</v>
      </c>
      <c r="H23" s="4">
        <v>34</v>
      </c>
      <c r="I23" s="7" t="s">
        <v>68</v>
      </c>
    </row>
    <row r="24" spans="2:9" ht="22.5" customHeight="1">
      <c r="B24" s="4">
        <v>22</v>
      </c>
      <c r="C24" s="8" t="s">
        <v>69</v>
      </c>
      <c r="D24" s="9">
        <f>23222.938+2*$L$2+$L$3</f>
        <v>24162.073100000001</v>
      </c>
      <c r="E24" s="6" t="s">
        <v>70</v>
      </c>
      <c r="F24" s="4">
        <v>72</v>
      </c>
      <c r="G24" s="4" t="str">
        <f t="shared" si="0"/>
        <v>GCC</v>
      </c>
      <c r="H24" s="4">
        <v>34</v>
      </c>
      <c r="I24" s="7" t="s">
        <v>71</v>
      </c>
    </row>
    <row r="25" spans="2:9" ht="22.5" customHeight="1">
      <c r="B25" s="4">
        <v>23</v>
      </c>
      <c r="C25" s="8" t="s">
        <v>72</v>
      </c>
      <c r="D25" s="9">
        <f>23222.938+2*$L$2+$L$3</f>
        <v>24162.073100000001</v>
      </c>
      <c r="E25" s="6" t="s">
        <v>70</v>
      </c>
      <c r="F25" s="4">
        <v>72</v>
      </c>
      <c r="G25" s="4" t="str">
        <f t="shared" si="0"/>
        <v>GCC</v>
      </c>
      <c r="H25" s="4">
        <v>34</v>
      </c>
      <c r="I25" s="7" t="s">
        <v>71</v>
      </c>
    </row>
    <row r="26" spans="2:9" ht="22.5" customHeight="1">
      <c r="B26" s="4">
        <v>24</v>
      </c>
      <c r="C26" s="8" t="s">
        <v>73</v>
      </c>
      <c r="D26" s="9">
        <f>23222.938+2*$L$2+$L$3</f>
        <v>24162.073100000001</v>
      </c>
      <c r="E26" s="6" t="s">
        <v>70</v>
      </c>
      <c r="F26" s="4">
        <v>72</v>
      </c>
      <c r="G26" s="4" t="str">
        <f t="shared" si="0"/>
        <v>GCC</v>
      </c>
      <c r="H26" s="4">
        <v>34</v>
      </c>
      <c r="I26" s="7" t="s">
        <v>71</v>
      </c>
    </row>
    <row r="27" spans="2:9" ht="22.5" customHeight="1">
      <c r="B27" s="4">
        <v>25</v>
      </c>
      <c r="C27" s="8" t="s">
        <v>74</v>
      </c>
      <c r="D27" s="9">
        <f>23198.913+2*$L$2+$L$3</f>
        <v>24138.048100000004</v>
      </c>
      <c r="E27" s="6" t="s">
        <v>75</v>
      </c>
      <c r="F27" s="4">
        <v>72</v>
      </c>
      <c r="G27" s="4" t="str">
        <f t="shared" si="0"/>
        <v>TCC</v>
      </c>
      <c r="H27" s="4">
        <v>34</v>
      </c>
      <c r="I27" s="7" t="s">
        <v>76</v>
      </c>
    </row>
    <row r="28" spans="2:9" ht="22.5" customHeight="1">
      <c r="B28" s="4">
        <v>26</v>
      </c>
      <c r="C28" s="8" t="s">
        <v>77</v>
      </c>
      <c r="D28" s="9">
        <f>23608.122+L3</f>
        <v>23937.174500000001</v>
      </c>
      <c r="E28" s="6" t="s">
        <v>78</v>
      </c>
      <c r="F28" s="4">
        <v>73</v>
      </c>
      <c r="G28" s="4" t="str">
        <f t="shared" si="0"/>
        <v>GTG</v>
      </c>
      <c r="H28" s="4">
        <v>35</v>
      </c>
      <c r="I28" s="7" t="s">
        <v>79</v>
      </c>
    </row>
    <row r="29" spans="2:9" ht="22.5" customHeight="1">
      <c r="B29" s="4">
        <v>27</v>
      </c>
      <c r="C29" s="8" t="s">
        <v>80</v>
      </c>
      <c r="D29" s="9">
        <f>24922.988</f>
        <v>24922.988000000001</v>
      </c>
      <c r="E29" s="6" t="s">
        <v>81</v>
      </c>
      <c r="F29" s="4">
        <v>77</v>
      </c>
      <c r="G29" s="4" t="str">
        <f t="shared" si="0"/>
        <v>GAT</v>
      </c>
      <c r="H29" s="4">
        <v>35</v>
      </c>
      <c r="I29" s="7" t="s">
        <v>82</v>
      </c>
    </row>
    <row r="30" spans="2:9" ht="22.5" customHeight="1">
      <c r="B30" s="4">
        <v>28</v>
      </c>
      <c r="C30" s="8" t="s">
        <v>83</v>
      </c>
      <c r="D30" s="9">
        <v>24922.988000000001</v>
      </c>
      <c r="E30" s="6" t="s">
        <v>81</v>
      </c>
      <c r="F30" s="4">
        <v>77</v>
      </c>
      <c r="G30" s="4" t="str">
        <f t="shared" si="0"/>
        <v>GAT</v>
      </c>
      <c r="H30" s="4">
        <v>35</v>
      </c>
      <c r="I30" s="7" t="s">
        <v>82</v>
      </c>
    </row>
    <row r="31" spans="2:9" ht="22.5" customHeight="1">
      <c r="B31" s="4">
        <v>29</v>
      </c>
      <c r="C31" s="8" t="s">
        <v>84</v>
      </c>
      <c r="D31" s="9">
        <v>24200.57</v>
      </c>
      <c r="E31" s="6" t="s">
        <v>85</v>
      </c>
      <c r="F31" s="4">
        <v>75</v>
      </c>
      <c r="G31" s="4" t="str">
        <f t="shared" si="0"/>
        <v>CAT</v>
      </c>
      <c r="H31" s="4">
        <v>36</v>
      </c>
      <c r="I31" s="7" t="s">
        <v>86</v>
      </c>
    </row>
    <row r="32" spans="2:9" ht="22.5" customHeight="1">
      <c r="B32" s="4">
        <v>30</v>
      </c>
      <c r="C32" s="8" t="s">
        <v>87</v>
      </c>
      <c r="D32" s="9">
        <f>24263.635+2*$L$2+$L$3</f>
        <v>25202.770100000002</v>
      </c>
      <c r="E32" s="6" t="s">
        <v>88</v>
      </c>
      <c r="F32" s="4">
        <v>75</v>
      </c>
      <c r="G32" s="4" t="str">
        <f t="shared" si="0"/>
        <v>CAT</v>
      </c>
      <c r="H32" s="4">
        <v>36</v>
      </c>
      <c r="I32" s="7" t="s">
        <v>89</v>
      </c>
    </row>
    <row r="33" spans="2:9" ht="22.5" customHeight="1">
      <c r="B33" s="4">
        <v>31</v>
      </c>
      <c r="C33" s="8" t="s">
        <v>90</v>
      </c>
      <c r="D33" s="9">
        <f>24263.635+2*$L$2+$L$3</f>
        <v>25202.770100000002</v>
      </c>
      <c r="E33" s="6" t="s">
        <v>88</v>
      </c>
      <c r="F33" s="4">
        <v>75</v>
      </c>
      <c r="G33" s="4" t="str">
        <f t="shared" si="0"/>
        <v>CAT</v>
      </c>
      <c r="H33" s="4">
        <v>36</v>
      </c>
      <c r="I33" s="7" t="s">
        <v>89</v>
      </c>
    </row>
    <row r="34" spans="2:9" ht="22.5" customHeight="1">
      <c r="B34" s="4">
        <v>32</v>
      </c>
      <c r="C34" s="8" t="s">
        <v>91</v>
      </c>
      <c r="D34" s="9">
        <f>26798.107+2*$L$2+$L$3</f>
        <v>27737.242100000003</v>
      </c>
      <c r="E34" s="11" t="s">
        <v>92</v>
      </c>
      <c r="F34" s="4">
        <v>83</v>
      </c>
      <c r="G34" s="4" t="str">
        <f t="shared" si="0"/>
        <v>CAA</v>
      </c>
      <c r="H34" s="4">
        <v>35</v>
      </c>
      <c r="I34" s="7" t="s">
        <v>93</v>
      </c>
    </row>
    <row r="35" spans="2:9" ht="22.5" customHeight="1">
      <c r="B35" s="4">
        <v>33</v>
      </c>
      <c r="C35" s="8" t="s">
        <v>94</v>
      </c>
      <c r="D35" s="9">
        <f>27441.46+2*$L$2+$L$3</f>
        <v>28380.595100000002</v>
      </c>
      <c r="E35" s="6" t="s">
        <v>95</v>
      </c>
      <c r="F35" s="4">
        <v>85</v>
      </c>
      <c r="G35" s="4" t="str">
        <f t="shared" si="0"/>
        <v>CAG</v>
      </c>
      <c r="H35" s="4">
        <v>37</v>
      </c>
      <c r="I35" s="7" t="s">
        <v>96</v>
      </c>
    </row>
    <row r="36" spans="2:9" ht="22.5" customHeight="1">
      <c r="B36" s="4">
        <v>34</v>
      </c>
      <c r="C36" s="8" t="s">
        <v>97</v>
      </c>
      <c r="D36" s="9">
        <v>28422.046999999999</v>
      </c>
      <c r="E36" s="6" t="s">
        <v>98</v>
      </c>
      <c r="F36" s="4">
        <v>88</v>
      </c>
      <c r="G36" s="4" t="str">
        <f t="shared" si="0"/>
        <v>GAG</v>
      </c>
      <c r="H36" s="4">
        <v>37</v>
      </c>
      <c r="I36" s="7" t="s">
        <v>99</v>
      </c>
    </row>
    <row r="37" spans="2:9" ht="22.5" customHeight="1">
      <c r="B37" s="4">
        <v>35</v>
      </c>
      <c r="C37" s="8" t="s">
        <v>100</v>
      </c>
      <c r="D37" s="9">
        <f>27482.47+2*$L$2+$L$3</f>
        <v>28421.605100000004</v>
      </c>
      <c r="E37" s="11" t="s">
        <v>101</v>
      </c>
      <c r="F37" s="4">
        <v>85</v>
      </c>
      <c r="G37" s="4" t="str">
        <f t="shared" si="0"/>
        <v>GAG</v>
      </c>
      <c r="H37" s="4">
        <v>37</v>
      </c>
      <c r="I37" s="7" t="s">
        <v>102</v>
      </c>
    </row>
    <row r="38" spans="2:9" ht="22.5" customHeight="1">
      <c r="B38" s="4">
        <v>36</v>
      </c>
      <c r="C38" s="8" t="s">
        <v>103</v>
      </c>
      <c r="D38" s="9">
        <f>27431.515+2*$L$2+$L$3</f>
        <v>28370.650100000003</v>
      </c>
      <c r="E38" s="6" t="s">
        <v>104</v>
      </c>
      <c r="F38" s="4">
        <v>85</v>
      </c>
      <c r="G38" s="4" t="str">
        <f t="shared" si="0"/>
        <v>TAA</v>
      </c>
      <c r="H38" s="4">
        <v>37</v>
      </c>
      <c r="I38" s="7" t="s">
        <v>105</v>
      </c>
    </row>
    <row r="39" spans="2:9" ht="22.5" customHeight="1">
      <c r="B39" s="4">
        <v>37</v>
      </c>
      <c r="C39" s="8" t="s">
        <v>106</v>
      </c>
      <c r="D39" s="9">
        <f>27426.445+2*$L$2+$L$3</f>
        <v>28365.580100000003</v>
      </c>
      <c r="E39" s="11" t="s">
        <v>107</v>
      </c>
      <c r="F39" s="4">
        <v>85</v>
      </c>
      <c r="G39" s="4" t="str">
        <f t="shared" si="0"/>
        <v>TAG</v>
      </c>
      <c r="H39" s="4">
        <v>37</v>
      </c>
      <c r="I39" s="7" t="s">
        <v>108</v>
      </c>
    </row>
    <row r="40" spans="2:9" ht="22.5" customHeight="1">
      <c r="B40" s="4">
        <v>38</v>
      </c>
      <c r="C40" s="8" t="s">
        <v>109</v>
      </c>
      <c r="D40" s="9">
        <f>23913.356+2*$L$2+$L$3</f>
        <v>24852.491100000003</v>
      </c>
      <c r="E40" s="6" t="s">
        <v>110</v>
      </c>
      <c r="F40" s="4">
        <v>74</v>
      </c>
      <c r="G40" s="4" t="str">
        <f t="shared" si="0"/>
        <v>CTT</v>
      </c>
      <c r="H40" s="4">
        <v>35</v>
      </c>
      <c r="I40" s="7" t="s">
        <v>111</v>
      </c>
    </row>
    <row r="41" spans="2:9" ht="22.5" customHeight="1">
      <c r="B41" s="4">
        <v>39</v>
      </c>
      <c r="C41" s="8" t="s">
        <v>112</v>
      </c>
      <c r="D41" s="9">
        <v>24811.922999999999</v>
      </c>
      <c r="E41" s="6" t="s">
        <v>113</v>
      </c>
      <c r="F41" s="4">
        <v>77</v>
      </c>
      <c r="G41" s="4" t="str">
        <f t="shared" si="0"/>
        <v>TTT</v>
      </c>
      <c r="H41" s="4">
        <v>35</v>
      </c>
      <c r="I41" s="7" t="s">
        <v>114</v>
      </c>
    </row>
    <row r="42" spans="2:9" ht="22.5" customHeight="1">
      <c r="B42" s="4">
        <v>40</v>
      </c>
      <c r="C42" s="8" t="s">
        <v>115</v>
      </c>
      <c r="D42" s="9">
        <f>23945.356+2*L2+L3</f>
        <v>24884.491100000003</v>
      </c>
      <c r="E42" s="6" t="s">
        <v>116</v>
      </c>
      <c r="F42" s="4">
        <v>74</v>
      </c>
      <c r="G42" s="4" t="str">
        <f t="shared" si="0"/>
        <v>CAT</v>
      </c>
      <c r="H42" s="4">
        <v>35</v>
      </c>
      <c r="I42" s="7" t="s">
        <v>117</v>
      </c>
    </row>
    <row r="43" spans="2:9" ht="22.5" customHeight="1">
      <c r="B43" s="4">
        <v>41</v>
      </c>
      <c r="C43" s="8" t="s">
        <v>118</v>
      </c>
      <c r="D43" s="9">
        <v>24312.62</v>
      </c>
      <c r="E43" s="6" t="s">
        <v>119</v>
      </c>
      <c r="F43" s="4">
        <v>75</v>
      </c>
      <c r="G43" s="4" t="str">
        <f t="shared" si="0"/>
        <v>GAA</v>
      </c>
      <c r="H43" s="4">
        <v>33</v>
      </c>
      <c r="I43" s="7" t="s">
        <v>120</v>
      </c>
    </row>
    <row r="44" spans="2:9" ht="22.5" customHeight="1">
      <c r="B44" s="4">
        <v>42</v>
      </c>
      <c r="C44" s="8" t="s">
        <v>121</v>
      </c>
      <c r="D44" s="9">
        <v>24312.62</v>
      </c>
      <c r="E44" s="6" t="s">
        <v>119</v>
      </c>
      <c r="F44" s="4">
        <v>75</v>
      </c>
      <c r="G44" s="4" t="str">
        <f t="shared" si="0"/>
        <v>GAA</v>
      </c>
      <c r="H44" s="4">
        <v>33</v>
      </c>
      <c r="I44" s="7" t="s">
        <v>120</v>
      </c>
    </row>
    <row r="45" spans="2:9" ht="22.5" customHeight="1">
      <c r="B45" s="4">
        <v>43</v>
      </c>
      <c r="C45" s="8" t="s">
        <v>122</v>
      </c>
      <c r="D45" s="9">
        <v>24172.46</v>
      </c>
      <c r="E45" s="6" t="s">
        <v>123</v>
      </c>
      <c r="F45" s="4">
        <v>75</v>
      </c>
      <c r="G45" s="4" t="str">
        <f t="shared" si="0"/>
        <v>CGG</v>
      </c>
      <c r="H45" s="4">
        <v>37</v>
      </c>
      <c r="I45" s="7" t="s">
        <v>124</v>
      </c>
    </row>
    <row r="46" spans="2:9" ht="22.5" customHeight="1">
      <c r="B46" s="4">
        <v>44</v>
      </c>
      <c r="C46" s="8" t="s">
        <v>125</v>
      </c>
      <c r="D46" s="9">
        <v>25208.087</v>
      </c>
      <c r="E46" s="6" t="s">
        <v>126</v>
      </c>
      <c r="F46" s="4">
        <v>78</v>
      </c>
      <c r="G46" s="4" t="str">
        <f t="shared" si="0"/>
        <v>GGG</v>
      </c>
      <c r="H46" s="4">
        <v>37</v>
      </c>
      <c r="I46" s="7" t="s">
        <v>127</v>
      </c>
    </row>
    <row r="47" spans="2:9" ht="22.5" customHeight="1">
      <c r="B47" s="4">
        <v>45</v>
      </c>
      <c r="C47" s="8" t="s">
        <v>128</v>
      </c>
      <c r="D47" s="9">
        <f>24197.47</f>
        <v>24197.47</v>
      </c>
      <c r="E47" s="11" t="s">
        <v>129</v>
      </c>
      <c r="F47" s="4">
        <v>75</v>
      </c>
      <c r="G47" s="4" t="str">
        <f t="shared" si="0"/>
        <v>TGG</v>
      </c>
      <c r="H47" s="4">
        <v>37</v>
      </c>
      <c r="I47" s="7" t="s">
        <v>130</v>
      </c>
    </row>
    <row r="48" spans="2:9" ht="22.5" customHeight="1">
      <c r="B48" s="4">
        <v>46</v>
      </c>
      <c r="C48" s="8" t="s">
        <v>131</v>
      </c>
      <c r="D48" s="9">
        <f>25764.4+2*$L$2+$L$3</f>
        <v>26703.535100000005</v>
      </c>
      <c r="E48" s="6" t="s">
        <v>132</v>
      </c>
      <c r="F48" s="4">
        <v>80</v>
      </c>
      <c r="G48" s="4" t="str">
        <f t="shared" si="0"/>
        <v>CGA</v>
      </c>
      <c r="H48" s="4">
        <v>33</v>
      </c>
      <c r="I48" s="7" t="s">
        <v>133</v>
      </c>
    </row>
    <row r="49" spans="2:9" ht="22.5" customHeight="1">
      <c r="B49" s="4">
        <v>47</v>
      </c>
      <c r="C49" s="8" t="s">
        <v>134</v>
      </c>
      <c r="D49" s="9">
        <f>27393.41+2*$L$2+$L$3</f>
        <v>28332.545100000003</v>
      </c>
      <c r="E49" s="6" t="s">
        <v>135</v>
      </c>
      <c r="F49" s="4">
        <v>85</v>
      </c>
      <c r="G49" s="4" t="str">
        <f t="shared" si="0"/>
        <v>GCT</v>
      </c>
      <c r="H49" s="4">
        <v>35</v>
      </c>
      <c r="I49" s="7" t="s">
        <v>136</v>
      </c>
    </row>
    <row r="50" spans="2:9" ht="22.5" customHeight="1">
      <c r="B50" s="4">
        <v>48</v>
      </c>
      <c r="C50" s="8" t="s">
        <v>137</v>
      </c>
      <c r="D50" s="9">
        <f>26861.122+2*$L$2+$L$3</f>
        <v>27800.257100000003</v>
      </c>
      <c r="E50" s="11" t="s">
        <v>138</v>
      </c>
      <c r="F50" s="4">
        <v>83</v>
      </c>
      <c r="G50" s="4" t="str">
        <f t="shared" si="0"/>
        <v>GGA</v>
      </c>
      <c r="H50" s="4">
        <v>33</v>
      </c>
      <c r="I50" s="7" t="s">
        <v>139</v>
      </c>
    </row>
    <row r="51" spans="2:9" ht="22.5" customHeight="1">
      <c r="B51" s="4">
        <v>49</v>
      </c>
      <c r="C51" s="8" t="s">
        <v>140</v>
      </c>
      <c r="D51" s="9">
        <f>27459.575+2*$L$2+$L$3</f>
        <v>28398.710100000004</v>
      </c>
      <c r="E51" s="11" t="s">
        <v>141</v>
      </c>
      <c r="F51" s="4">
        <v>85</v>
      </c>
      <c r="G51" s="4" t="str">
        <f t="shared" si="0"/>
        <v>TGA</v>
      </c>
      <c r="H51" s="4">
        <v>35</v>
      </c>
      <c r="I51" s="7" t="s">
        <v>142</v>
      </c>
    </row>
    <row r="52" spans="2:9" ht="22.5" customHeight="1">
      <c r="B52" s="4">
        <v>50</v>
      </c>
      <c r="C52" s="8" t="s">
        <v>143</v>
      </c>
      <c r="D52" s="9">
        <f>23288.908+2*$L$2+$L$3</f>
        <v>24228.043100000003</v>
      </c>
      <c r="E52" s="6" t="s">
        <v>144</v>
      </c>
      <c r="F52" s="4">
        <v>72</v>
      </c>
      <c r="G52" s="4" t="str">
        <f t="shared" si="0"/>
        <v>CGT</v>
      </c>
      <c r="H52" s="4">
        <v>33</v>
      </c>
      <c r="I52" s="7" t="s">
        <v>145</v>
      </c>
    </row>
    <row r="53" spans="2:9" ht="22.5" customHeight="1">
      <c r="B53" s="4">
        <v>51</v>
      </c>
      <c r="C53" s="5" t="s">
        <v>146</v>
      </c>
      <c r="D53" s="9">
        <f>23351.973+2*$L$2+$L$3</f>
        <v>24291.108100000005</v>
      </c>
      <c r="E53" s="6" t="s">
        <v>147</v>
      </c>
      <c r="F53" s="4">
        <v>72</v>
      </c>
      <c r="G53" s="4" t="str">
        <f t="shared" si="0"/>
        <v>GGT</v>
      </c>
      <c r="H53" s="4">
        <v>33</v>
      </c>
      <c r="I53" s="7" t="s">
        <v>148</v>
      </c>
    </row>
    <row r="54" spans="2:9" ht="22.5" customHeight="1">
      <c r="B54" s="4">
        <v>52</v>
      </c>
      <c r="C54" s="8" t="s">
        <v>149</v>
      </c>
      <c r="D54" s="9">
        <f>23875.301+2*$L$2+$L$3</f>
        <v>24814.436100000003</v>
      </c>
      <c r="E54" s="6" t="s">
        <v>150</v>
      </c>
      <c r="F54" s="4">
        <v>74</v>
      </c>
      <c r="G54" s="4" t="str">
        <f t="shared" si="0"/>
        <v>TGT</v>
      </c>
      <c r="H54" s="4">
        <v>35</v>
      </c>
      <c r="I54" s="7" t="s">
        <v>151</v>
      </c>
    </row>
    <row r="55" spans="2:9" ht="22.5" customHeight="1">
      <c r="B55" s="4">
        <v>53</v>
      </c>
      <c r="C55" s="8" t="s">
        <v>152</v>
      </c>
      <c r="D55" s="9">
        <v>23863.335999999999</v>
      </c>
      <c r="E55" s="11" t="s">
        <v>153</v>
      </c>
      <c r="F55" s="4">
        <v>74</v>
      </c>
      <c r="G55" s="4" t="str">
        <f t="shared" si="0"/>
        <v>CCA</v>
      </c>
      <c r="H55" s="4">
        <v>35</v>
      </c>
      <c r="I55" s="7" t="s">
        <v>154</v>
      </c>
    </row>
    <row r="56" spans="2:9" ht="22.5" customHeight="1">
      <c r="B56" s="4">
        <v>54</v>
      </c>
      <c r="C56" s="8" t="s">
        <v>155</v>
      </c>
      <c r="D56" s="9">
        <f>23350.002+2*$L$2+$L$3</f>
        <v>24289.137100000004</v>
      </c>
      <c r="E56" s="6" t="s">
        <v>156</v>
      </c>
      <c r="F56" s="4">
        <v>72</v>
      </c>
      <c r="G56" s="4" t="str">
        <f t="shared" si="0"/>
        <v>GTA</v>
      </c>
      <c r="H56" s="4">
        <v>33</v>
      </c>
      <c r="I56" s="7" t="s">
        <v>157</v>
      </c>
    </row>
    <row r="57" spans="2:9" ht="22.5" customHeight="1">
      <c r="B57" s="4">
        <v>55</v>
      </c>
      <c r="C57" s="8" t="s">
        <v>158</v>
      </c>
      <c r="D57" s="9">
        <v>23906.315999999999</v>
      </c>
      <c r="E57" s="6" t="s">
        <v>159</v>
      </c>
      <c r="F57" s="4">
        <v>74</v>
      </c>
      <c r="G57" s="4" t="str">
        <f t="shared" si="0"/>
        <v>CAC</v>
      </c>
      <c r="H57" s="4">
        <v>35</v>
      </c>
      <c r="I57" s="7" t="s">
        <v>160</v>
      </c>
    </row>
    <row r="58" spans="2:9" ht="22.5" customHeight="1">
      <c r="B58" s="4">
        <v>56</v>
      </c>
      <c r="C58" s="8" t="s">
        <v>161</v>
      </c>
      <c r="D58" s="9">
        <v>23947.326000000001</v>
      </c>
      <c r="E58" s="6" t="s">
        <v>162</v>
      </c>
      <c r="F58" s="4">
        <v>74</v>
      </c>
      <c r="G58" s="4" t="str">
        <f t="shared" si="0"/>
        <v>GAC</v>
      </c>
      <c r="H58" s="4">
        <v>35</v>
      </c>
      <c r="I58" s="7" t="s">
        <v>163</v>
      </c>
    </row>
    <row r="59" spans="2:9" ht="22.5" customHeight="1">
      <c r="B59" s="4">
        <v>57</v>
      </c>
      <c r="C59" s="8" t="s">
        <v>164</v>
      </c>
      <c r="D59" s="9">
        <v>23947.326000000001</v>
      </c>
      <c r="E59" s="6" t="s">
        <v>162</v>
      </c>
      <c r="F59" s="4">
        <v>74</v>
      </c>
      <c r="G59" s="4" t="str">
        <f t="shared" si="0"/>
        <v>GAC</v>
      </c>
      <c r="H59" s="4">
        <v>35</v>
      </c>
      <c r="I59" s="7" t="s">
        <v>163</v>
      </c>
    </row>
    <row r="60" spans="2:9" ht="22.5" customHeight="1">
      <c r="B60" s="4">
        <v>58</v>
      </c>
      <c r="C60" s="12" t="s">
        <v>165</v>
      </c>
      <c r="D60" s="9">
        <v>23867.276000000002</v>
      </c>
      <c r="E60" s="6" t="s">
        <v>166</v>
      </c>
      <c r="F60" s="4">
        <v>74</v>
      </c>
      <c r="G60" s="4" t="str">
        <f t="shared" si="0"/>
        <v>TAC</v>
      </c>
      <c r="H60" s="4">
        <v>35</v>
      </c>
      <c r="I60" s="7" t="s">
        <v>167</v>
      </c>
    </row>
  </sheetData>
  <phoneticPr fontId="13"/>
  <dataValidations count="1">
    <dataValidation type="custom" allowBlank="1" showDropDown="1" sqref="B3:B60 H3:H60 F3:F60 D3:D60" xr:uid="{00000000-0002-0000-0000-000000000000}">
      <formula1>AND(ISNUMBER(B3),(NOT(OR(NOT(ISERROR(DATEVALUE(B3))), AND(ISNUMBER(B3), LEFT(CELL("format", B3))="D")))))</formula1>
    </dataValidation>
  </dataValidations>
  <hyperlinks>
    <hyperlink ref="C3" r:id="rId1" xr:uid="{00000000-0004-0000-0000-000000000000}"/>
    <hyperlink ref="C4" r:id="rId2" xr:uid="{00000000-0004-0000-0000-000001000000}"/>
    <hyperlink ref="C5" r:id="rId3" xr:uid="{00000000-0004-0000-0000-000002000000}"/>
    <hyperlink ref="C6" r:id="rId4" xr:uid="{00000000-0004-0000-0000-000003000000}"/>
    <hyperlink ref="C7" r:id="rId5" xr:uid="{00000000-0004-0000-0000-000004000000}"/>
    <hyperlink ref="C8" r:id="rId6" xr:uid="{00000000-0004-0000-0000-000005000000}"/>
    <hyperlink ref="C9" r:id="rId7" xr:uid="{00000000-0004-0000-0000-000006000000}"/>
    <hyperlink ref="C10" r:id="rId8" xr:uid="{00000000-0004-0000-0000-000007000000}"/>
    <hyperlink ref="C11" r:id="rId9" xr:uid="{00000000-0004-0000-0000-000008000000}"/>
    <hyperlink ref="C12" r:id="rId10" xr:uid="{00000000-0004-0000-0000-000009000000}"/>
    <hyperlink ref="C13" r:id="rId11" xr:uid="{00000000-0004-0000-0000-00000A000000}"/>
    <hyperlink ref="C14" r:id="rId12" xr:uid="{00000000-0004-0000-0000-00000B000000}"/>
    <hyperlink ref="C15" r:id="rId13" xr:uid="{00000000-0004-0000-0000-00000C000000}"/>
    <hyperlink ref="C16" r:id="rId14" xr:uid="{00000000-0004-0000-0000-00000D000000}"/>
    <hyperlink ref="C17" r:id="rId15" xr:uid="{00000000-0004-0000-0000-00000E000000}"/>
    <hyperlink ref="C18" r:id="rId16" xr:uid="{00000000-0004-0000-0000-00000F000000}"/>
    <hyperlink ref="C19" r:id="rId17" xr:uid="{00000000-0004-0000-0000-000010000000}"/>
    <hyperlink ref="C20" r:id="rId18" xr:uid="{00000000-0004-0000-0000-000011000000}"/>
    <hyperlink ref="C21" r:id="rId19" xr:uid="{00000000-0004-0000-0000-000012000000}"/>
    <hyperlink ref="C22" r:id="rId20" xr:uid="{00000000-0004-0000-0000-000013000000}"/>
    <hyperlink ref="C23" r:id="rId21" xr:uid="{00000000-0004-0000-0000-000014000000}"/>
    <hyperlink ref="C24" r:id="rId22" xr:uid="{00000000-0004-0000-0000-000015000000}"/>
    <hyperlink ref="C25" r:id="rId23" xr:uid="{00000000-0004-0000-0000-000016000000}"/>
    <hyperlink ref="C26" r:id="rId24" xr:uid="{00000000-0004-0000-0000-000017000000}"/>
    <hyperlink ref="C27" r:id="rId25" xr:uid="{00000000-0004-0000-0000-000018000000}"/>
    <hyperlink ref="C28" r:id="rId26" xr:uid="{00000000-0004-0000-0000-000019000000}"/>
    <hyperlink ref="C29" r:id="rId27" xr:uid="{00000000-0004-0000-0000-00001A000000}"/>
    <hyperlink ref="C30" r:id="rId28" xr:uid="{00000000-0004-0000-0000-00001B000000}"/>
    <hyperlink ref="C31" r:id="rId29" xr:uid="{00000000-0004-0000-0000-00001C000000}"/>
    <hyperlink ref="C32" r:id="rId30" xr:uid="{00000000-0004-0000-0000-00001D000000}"/>
    <hyperlink ref="C33" r:id="rId31" xr:uid="{00000000-0004-0000-0000-00001E000000}"/>
    <hyperlink ref="C34" r:id="rId32" xr:uid="{00000000-0004-0000-0000-00001F000000}"/>
    <hyperlink ref="C35" r:id="rId33" xr:uid="{00000000-0004-0000-0000-000020000000}"/>
    <hyperlink ref="C36" r:id="rId34" xr:uid="{00000000-0004-0000-0000-000021000000}"/>
    <hyperlink ref="C37" r:id="rId35" xr:uid="{00000000-0004-0000-0000-000022000000}"/>
    <hyperlink ref="C38" r:id="rId36" xr:uid="{00000000-0004-0000-0000-000023000000}"/>
    <hyperlink ref="C39" r:id="rId37" xr:uid="{00000000-0004-0000-0000-000024000000}"/>
    <hyperlink ref="C40" r:id="rId38" xr:uid="{00000000-0004-0000-0000-000025000000}"/>
    <hyperlink ref="C41" r:id="rId39" xr:uid="{00000000-0004-0000-0000-000026000000}"/>
    <hyperlink ref="C42" r:id="rId40" xr:uid="{00000000-0004-0000-0000-000027000000}"/>
    <hyperlink ref="C43" r:id="rId41" xr:uid="{00000000-0004-0000-0000-000028000000}"/>
    <hyperlink ref="C44" r:id="rId42" xr:uid="{00000000-0004-0000-0000-000029000000}"/>
    <hyperlink ref="C45" r:id="rId43" xr:uid="{00000000-0004-0000-0000-00002A000000}"/>
    <hyperlink ref="C46" r:id="rId44" xr:uid="{00000000-0004-0000-0000-00002B000000}"/>
    <hyperlink ref="C47" r:id="rId45" xr:uid="{00000000-0004-0000-0000-00002C000000}"/>
    <hyperlink ref="C48" r:id="rId46" xr:uid="{00000000-0004-0000-0000-00002D000000}"/>
    <hyperlink ref="C49" r:id="rId47" xr:uid="{00000000-0004-0000-0000-00002E000000}"/>
    <hyperlink ref="C50" r:id="rId48" xr:uid="{00000000-0004-0000-0000-00002F000000}"/>
    <hyperlink ref="C51" r:id="rId49" xr:uid="{00000000-0004-0000-0000-000030000000}"/>
    <hyperlink ref="C52" r:id="rId50" xr:uid="{00000000-0004-0000-0000-000031000000}"/>
    <hyperlink ref="C53" r:id="rId51" xr:uid="{00000000-0004-0000-0000-000032000000}"/>
    <hyperlink ref="C54" r:id="rId52" xr:uid="{00000000-0004-0000-0000-000033000000}"/>
    <hyperlink ref="C55" r:id="rId53" xr:uid="{00000000-0004-0000-0000-000034000000}"/>
    <hyperlink ref="C56" r:id="rId54" xr:uid="{00000000-0004-0000-0000-000035000000}"/>
    <hyperlink ref="C57" r:id="rId55" xr:uid="{00000000-0004-0000-0000-000036000000}"/>
    <hyperlink ref="C58" r:id="rId56" xr:uid="{00000000-0004-0000-0000-000037000000}"/>
    <hyperlink ref="C59" r:id="rId57" xr:uid="{00000000-0004-0000-0000-000038000000}"/>
    <hyperlink ref="C60" r:id="rId58" xr:uid="{00000000-0004-0000-0000-000039000000}"/>
  </hyperlinks>
  <pageMargins left="0.7" right="0.7" top="0.75" bottom="0.75" header="0.3" footer="0.3"/>
  <tableParts count="1">
    <tablePart r:id="rId59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シート1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犬飼裕真</cp:lastModifiedBy>
  <dcterms:modified xsi:type="dcterms:W3CDTF">2026-07-18T23:27:32Z</dcterms:modified>
</cp:coreProperties>
</file>